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27f45ebdc441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inel" sheetId="1" r:id="R984f1ab4548b4a3e"/>
    <x:sheet xmlns:r="http://schemas.openxmlformats.org/officeDocument/2006/relationships" name="Materias e Metas" sheetId="2" r:id="Rc36e14ff14b94289"/>
    <x:sheet xmlns:r="http://schemas.openxmlformats.org/officeDocument/2006/relationships" name="Plano 30 dias" sheetId="3" r:id="R596efdc3ae554906"/>
    <x:sheet xmlns:r="http://schemas.openxmlformats.org/officeDocument/2006/relationships" name="Banco de Questoes" sheetId="4" r:id="R36f6bcfbd2d64f31"/>
    <x:sheet xmlns:r="http://schemas.openxmlformats.org/officeDocument/2006/relationships" name="Simulados" sheetId="5" r:id="R03487de6b304492e"/>
    <x:sheet xmlns:r="http://schemas.openxmlformats.org/officeDocument/2006/relationships" name="Revisoes" sheetId="6" r:id="Ra2d0858534644f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0.0"/>
    <x:numFmt numFmtId="202" formatCode="#,##0"/>
    <x:numFmt numFmtId="203" formatCode="yyyy-mm-dd"/>
    <x:numFmt numFmtId="204" formatCode="#,##0.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  <x:font>
      <x:b/>
      <x:sz val="11"/>
      <x:color rgb="FF172033"/>
      <x:name val="Carlito"/>
    </x:font>
    <x:font>
      <x:b/>
      <x:sz val="10"/>
      <x:color rgb="FFFFFFFF"/>
      <x:name val="Aptos"/>
    </x:font>
    <x:font>
      <x:i/>
      <x:sz val="10"/>
      <x:color rgb="FF334155"/>
      <x:name val="Aptos"/>
    </x:font>
    <x:font>
      <x:sz val="10"/>
      <x:name val="Aptos"/>
    </x:font>
    <x:font>
      <x:b/>
      <x:sz val="10"/>
      <x:color rgb="FF172033"/>
      <x:name val="Aptos"/>
    </x:font>
    <x:font>
      <x:b/>
      <x:sz val="16"/>
      <x:color rgb="FFFFFFFF"/>
      <x:name val="Aptos Display"/>
    </x:font>
  </x:fonts>
  <x:fills count="8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EAF3F7"/>
      </x:patternFill>
    </x:fill>
    <x:fill>
      <x:patternFill patternType="solid">
        <x:fgColor rgb="FF0F766E"/>
      </x:patternFill>
    </x:fill>
    <x:fill>
      <x:patternFill patternType="solid">
        <x:fgColor rgb="FFFFF7E6"/>
      </x:patternFill>
    </x:fill>
    <x:fill>
      <x:patternFill patternType="solid">
        <x:fgColor rgb="FFFFFFFF"/>
      </x:patternFill>
    </x:fill>
    <x:fill>
      <x:patternFill patternType="solid">
        <x:fgColor rgb="FFEAF7EF"/>
      </x:patternFill>
    </x:fill>
  </x:fills>
  <x:borders count="15">
    <x:border/>
    <x:border>
      <x:left style="thin">
        <x:color rgb="FFD8DEE6"/>
      </x:left>
      <x:top style="thin">
        <x:color rgb="FFD8DEE6"/>
      </x:top>
      <x:bottom style="thin">
        <x:color rgb="FFD8DEE6"/>
      </x:bottom>
    </x:border>
    <x:border>
      <x:top style="thin">
        <x:color rgb="FFD8DEE6"/>
      </x:top>
      <x:bottom style="thin">
        <x:color rgb="FFD8DEE6"/>
      </x:bottom>
    </x:border>
    <x:border>
      <x:right style="thin">
        <x:color rgb="FFD8DEE6"/>
      </x:right>
      <x:top style="thin">
        <x:color rgb="FFD8DEE6"/>
      </x:top>
      <x:bottom style="thin">
        <x:color rgb="FFD8DEE6"/>
      </x:bottom>
    </x:border>
    <x:border>
      <x:left style="thin">
        <x:color rgb="FFD8DEE6"/>
      </x:left>
      <x:right style="thin">
        <x:color rgb="FFD8DEE6"/>
      </x:right>
      <x:top style="thin">
        <x:color rgb="FFD8DEE6"/>
      </x:top>
    </x:border>
    <x:border>
      <x:left style="thin">
        <x:color rgb="FFD8DEE6"/>
      </x:left>
      <x:right style="thin">
        <x:color rgb="FFD8DEE6"/>
      </x:right>
    </x:border>
    <x:border>
      <x:left style="thin">
        <x:color rgb="FFD8DEE6"/>
      </x:left>
      <x:right style="thin">
        <x:color rgb="FFD8DEE6"/>
      </x:right>
      <x:bottom style="thin">
        <x:color rgb="FFD8DEE6"/>
      </x:bottom>
    </x:border>
    <x:border>
      <x:left style="thin">
        <x:color rgb="FFD8DEE6"/>
      </x:left>
      <x:top style="thin">
        <x:color rgb="FFD8DEE6"/>
      </x:top>
    </x:border>
    <x:border>
      <x:top style="thin">
        <x:color rgb="FFD8DEE6"/>
      </x:top>
    </x:border>
    <x:border>
      <x:right style="thin">
        <x:color rgb="FFD8DEE6"/>
      </x:right>
      <x:top style="thin">
        <x:color rgb="FFD8DEE6"/>
      </x:top>
    </x:border>
    <x:border>
      <x:left style="thin">
        <x:color rgb="FFD8DEE6"/>
      </x:left>
    </x:border>
    <x:border>
      <x:right style="thin">
        <x:color rgb="FFD8DEE6"/>
      </x:right>
    </x:border>
    <x:border>
      <x:left style="thin">
        <x:color rgb="FFD8DEE6"/>
      </x:left>
      <x:bottom style="thin">
        <x:color rgb="FFD8DEE6"/>
      </x:bottom>
    </x:border>
    <x:border>
      <x:bottom style="thin">
        <x:color rgb="FFD8DEE6"/>
      </x:bottom>
    </x:border>
    <x:border>
      <x:right style="thin">
        <x:color rgb="FFD8DEE6"/>
      </x:right>
      <x:bottom style="thin">
        <x:color rgb="FFD8DEE6"/>
      </x:bottom>
    </x:border>
  </x:borders>
  <x:cellStyleXfs count="1">
    <x:xf numFmtId="0" fontId="0" fillId="0" borderId="0"/>
  </x:cellStyleXfs>
  <x:cellXfs count="1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vertical="center" wrapText="1"/>
    </x:xf>
    <x:xf numFmtId="0" fontId="0" fillId="5" borderId="5" xfId="0" applyNumberFormat="1" applyFont="1" applyFill="1" applyBorder="1" applyAlignment="1">
      <x:alignment vertical="center" wrapText="1"/>
    </x:xf>
    <x:xf numFmtId="0" fontId="0" fillId="5" borderId="6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0" fillId="6" borderId="7" xfId="0" applyNumberFormat="1" applyFont="1" applyFill="1" applyBorder="1"/>
    <x:xf numFmtId="0" fontId="0" fillId="6" borderId="8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0" fontId="0" fillId="6" borderId="7" xfId="0" applyNumberFormat="1" applyFont="1" applyFill="1" applyBorder="1" applyAlignment="1">
      <x:alignment wrapText="1"/>
    </x:xf>
    <x:xf numFmtId="0" fontId="0" fillId="6" borderId="8" xfId="0" applyNumberFormat="1" applyFont="1" applyFill="1" applyBorder="1" applyAlignment="1">
      <x:alignment wrapText="1"/>
    </x:xf>
    <x:xf numFmtId="0" fontId="0" fillId="6" borderId="9" xfId="0" applyNumberFormat="1" applyFont="1" applyFill="1" applyBorder="1" applyAlignment="1">
      <x:alignment wrapText="1"/>
    </x:xf>
    <x:xf numFmtId="0" fontId="0" fillId="6" borderId="1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1" xfId="0" applyNumberFormat="1" applyFont="1" applyFill="1" applyBorder="1" applyAlignment="1">
      <x:alignment wrapText="1"/>
    </x:xf>
    <x:xf numFmtId="0" fontId="0" fillId="6" borderId="12" xfId="0" applyNumberFormat="1" applyFont="1" applyFill="1" applyBorder="1" applyAlignment="1">
      <x:alignment wrapText="1"/>
    </x:xf>
    <x:xf numFmtId="0" fontId="0" fillId="6" borderId="13" xfId="0" applyNumberFormat="1" applyFont="1" applyFill="1" applyBorder="1" applyAlignment="1">
      <x:alignment wrapText="1"/>
    </x:xf>
    <x:xf numFmtId="0" fontId="0" fillId="6" borderId="14" xfId="0" applyNumberFormat="1" applyFont="1" applyFill="1" applyBorder="1" applyAlignment="1">
      <x:alignment wrapText="1"/>
    </x:xf>
    <x:xf numFmtId="0" fontId="0" fillId="6" borderId="7" xfId="0" applyNumberFormat="1" applyFont="1" applyFill="1" applyBorder="1" applyAlignment="1">
      <x:alignment vertical="center" wrapText="1"/>
    </x:xf>
    <x:xf numFmtId="0" fontId="0" fillId="6" borderId="8" xfId="0" applyNumberFormat="1" applyFont="1" applyFill="1" applyBorder="1" applyAlignment="1">
      <x:alignment vertical="center" wrapText="1"/>
    </x:xf>
    <x:xf numFmtId="0" fontId="0" fillId="6" borderId="9" xfId="0" applyNumberFormat="1" applyFont="1" applyFill="1" applyBorder="1" applyAlignment="1">
      <x:alignment vertical="center" wrapText="1"/>
    </x:xf>
    <x:xf numFmtId="0" fontId="0" fillId="6" borderId="1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11" xfId="0" applyNumberFormat="1" applyFont="1" applyFill="1" applyBorder="1" applyAlignment="1">
      <x:alignment vertical="center" wrapText="1"/>
    </x:xf>
    <x:xf numFmtId="0" fontId="0" fillId="6" borderId="12" xfId="0" applyNumberFormat="1" applyFont="1" applyFill="1" applyBorder="1" applyAlignment="1">
      <x:alignment vertical="center" wrapText="1"/>
    </x:xf>
    <x:xf numFmtId="0" fontId="0" fillId="6" borderId="13" xfId="0" applyNumberFormat="1" applyFont="1" applyFill="1" applyBorder="1" applyAlignment="1">
      <x:alignment vertical="center" wrapText="1"/>
    </x:xf>
    <x:xf numFmtId="0" fontId="0" fillId="6" borderId="14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0" fontId="0" fillId="0" borderId="1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202" fontId="0" fillId="0" borderId="13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202" fontId="0" fillId="0" borderId="13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0" xfId="0" applyNumberFormat="1" applyFont="1" applyFill="1" applyBorder="1"/>
    <x:xf numFmtId="203" fontId="0" fillId="0" borderId="12" xfId="0" applyNumberFormat="1" applyFont="1" applyFill="1" applyBorder="1"/>
    <x:xf numFmtId="200" fontId="0" fillId="0" borderId="13" xfId="0" applyNumberFormat="1" applyFont="1" applyFill="1" applyBorder="1"/>
    <x:xf numFmtId="201" fontId="0" fillId="0" borderId="13" xfId="0" applyNumberFormat="1" applyFont="1" applyFill="1" applyBorder="1"/>
    <x:xf numFmtId="203" fontId="0" fillId="0" borderId="13" xfId="0" applyNumberFormat="1" applyFont="1" applyFill="1" applyBorder="1"/>
    <x:xf numFmtId="204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5" fillId="4" borderId="1" xfId="0" applyNumberFormat="1" applyFont="1" applyFill="1" applyBorder="1" applyAlignment="1">
      <x:alignment horizontal="center" vertic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204" fontId="7" fillId="0" borderId="0" xfId="0" applyNumberFormat="1" applyFont="1" applyFill="1" applyBorder="1"/>
    <x:xf numFmtId="200" fontId="7" fillId="0" borderId="0" xfId="0" applyNumberFormat="1" applyFont="1" applyFill="1" applyBorder="1"/>
    <x:xf numFmtId="0" fontId="7" fillId="0" borderId="10" xfId="0" applyNumberFormat="1" applyFont="1" applyFill="1" applyBorder="1"/>
    <x:xf numFmtId="201" fontId="7" fillId="0" borderId="0" xfId="0" applyNumberFormat="1" applyFont="1" applyFill="1" applyBorder="1"/>
    <x:xf numFmtId="0" fontId="7" fillId="0" borderId="12" xfId="0" applyNumberFormat="1" applyFont="1" applyFill="1" applyBorder="1"/>
    <x:xf numFmtId="201" fontId="7" fillId="0" borderId="13" xfId="0" applyNumberFormat="1" applyFont="1" applyFill="1" applyBorder="1"/>
    <x:xf numFmtId="200" fontId="7" fillId="0" borderId="13" xfId="0" applyNumberFormat="1" applyFont="1" applyFill="1" applyBorder="1"/>
    <x:xf numFmtId="0" fontId="8" fillId="7" borderId="0" xfId="0" applyNumberFormat="1" applyFont="1" applyFill="1" applyBorder="1" applyAlignment="1">
      <x:alignment vertical="center"/>
    </x:xf>
    <x:xf numFmtId="0" fontId="7" fillId="6" borderId="7" xfId="0" applyNumberFormat="1" applyFont="1" applyFill="1" applyBorder="1" applyAlignment="1">
      <x:alignment vertical="center" wrapText="1"/>
    </x:xf>
    <x:xf numFmtId="0" fontId="7" fillId="6" borderId="8" xfId="0" applyNumberFormat="1" applyFont="1" applyFill="1" applyBorder="1" applyAlignment="1">
      <x:alignment vertical="center" wrapText="1"/>
    </x:xf>
    <x:xf numFmtId="0" fontId="7" fillId="6" borderId="9" xfId="0" applyNumberFormat="1" applyFont="1" applyFill="1" applyBorder="1" applyAlignment="1">
      <x:alignment vertical="center" wrapText="1"/>
    </x:xf>
    <x:xf numFmtId="0" fontId="7" fillId="6" borderId="1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7" fillId="6" borderId="11" xfId="0" applyNumberFormat="1" applyFont="1" applyFill="1" applyBorder="1" applyAlignment="1">
      <x:alignment vertical="center" wrapText="1"/>
    </x:xf>
    <x:xf numFmtId="0" fontId="7" fillId="6" borderId="12" xfId="0" applyNumberFormat="1" applyFont="1" applyFill="1" applyBorder="1" applyAlignment="1">
      <x:alignment vertical="center" wrapText="1"/>
    </x:xf>
    <x:xf numFmtId="0" fontId="7" fillId="6" borderId="13" xfId="0" applyNumberFormat="1" applyFont="1" applyFill="1" applyBorder="1" applyAlignment="1">
      <x:alignment vertical="center" wrapText="1"/>
    </x:xf>
    <x:xf numFmtId="0" fontId="7" fillId="6" borderId="14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vertical="center"/>
    </x:xf>
    <x:xf numFmtId="204" fontId="7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0" fontId="7" fillId="0" borderId="1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0" fontId="7" fillId="0" borderId="12" xfId="0" applyNumberFormat="1" applyFont="1" applyFill="1" applyBorder="1" applyAlignment="1">
      <x:alignment vertical="center"/>
    </x:xf>
    <x:xf numFmtId="201" fontId="7" fillId="0" borderId="13" xfId="0" applyNumberFormat="1" applyFont="1" applyFill="1" applyBorder="1" applyAlignment="1">
      <x:alignment vertical="center"/>
    </x:xf>
    <x:xf numFmtId="200" fontId="7" fillId="0" borderId="13" xfId="0" applyNumberFormat="1" applyFont="1" applyFill="1" applyBorder="1" applyAlignment="1">
      <x:alignment vertical="center"/>
    </x:xf>
    <x:xf numFmtId="0" fontId="7" fillId="5" borderId="4" xfId="0" applyNumberFormat="1" applyFont="1" applyFill="1" applyBorder="1" applyAlignment="1">
      <x:alignment vertical="center" wrapText="1"/>
    </x:xf>
    <x:xf numFmtId="0" fontId="7" fillId="5" borderId="5" xfId="0" applyNumberFormat="1" applyFont="1" applyFill="1" applyBorder="1" applyAlignment="1">
      <x:alignment vertical="center" wrapText="1"/>
    </x:xf>
    <x:xf numFmtId="0" fontId="7" fillId="5" borderId="6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/>
    </x:xf>
    <x:xf numFmtId="0" fontId="7" fillId="0" borderId="1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202" fontId="7" fillId="0" borderId="0" xfId="0" applyNumberFormat="1" applyFont="1" applyFill="1" applyBorder="1" applyAlignment="1">
      <x:alignment wrapText="1"/>
    </x:xf>
    <x:xf numFmtId="0" fontId="7" fillId="0" borderId="12" xfId="0" applyNumberFormat="1" applyFont="1" applyFill="1" applyBorder="1" applyAlignment="1">
      <x:alignment wrapText="1"/>
    </x:xf>
    <x:xf numFmtId="0" fontId="7" fillId="0" borderId="13" xfId="0" applyNumberFormat="1" applyFont="1" applyFill="1" applyBorder="1" applyAlignment="1">
      <x:alignment wrapText="1"/>
    </x:xf>
    <x:xf numFmtId="202" fontId="7" fillId="0" borderId="13" xfId="0" applyNumberFormat="1" applyFont="1" applyFill="1" applyBorder="1" applyAlignment="1">
      <x:alignment wrapText="1"/>
    </x:xf>
    <x:xf numFmtId="0" fontId="7" fillId="0" borderId="1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202" fontId="7" fillId="0" borderId="0" xfId="0" applyNumberFormat="1" applyFont="1" applyFill="1" applyBorder="1" applyAlignment="1">
      <x:alignment vertical="center" wrapText="1"/>
    </x:xf>
    <x:xf numFmtId="0" fontId="7" fillId="0" borderId="12" xfId="0" applyNumberFormat="1" applyFont="1" applyFill="1" applyBorder="1" applyAlignment="1">
      <x:alignment vertical="center" wrapText="1"/>
    </x:xf>
    <x:xf numFmtId="0" fontId="7" fillId="0" borderId="13" xfId="0" applyNumberFormat="1" applyFont="1" applyFill="1" applyBorder="1" applyAlignment="1">
      <x:alignment vertical="center" wrapText="1"/>
    </x:xf>
    <x:xf numFmtId="202" fontId="7" fillId="0" borderId="13" xfId="0" applyNumberFormat="1" applyFont="1" applyFill="1" applyBorder="1" applyAlignment="1">
      <x:alignment vertical="center" wrapText="1"/>
    </x:xf>
    <x:xf numFmtId="203" fontId="7" fillId="0" borderId="10" xfId="0" applyNumberFormat="1" applyFont="1" applyFill="1" applyBorder="1"/>
    <x:xf numFmtId="202" fontId="7" fillId="0" borderId="0" xfId="0" applyNumberFormat="1" applyFont="1" applyFill="1" applyBorder="1"/>
    <x:xf numFmtId="203" fontId="7" fillId="0" borderId="12" xfId="0" applyNumberFormat="1" applyFont="1" applyFill="1" applyBorder="1"/>
    <x:xf numFmtId="0" fontId="7" fillId="0" borderId="13" xfId="0" applyNumberFormat="1" applyFont="1" applyFill="1" applyBorder="1"/>
    <x:xf numFmtId="202" fontId="7" fillId="0" borderId="13" xfId="0" applyNumberFormat="1" applyFont="1" applyFill="1" applyBorder="1"/>
    <x:xf numFmtId="203" fontId="7" fillId="0" borderId="1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203" fontId="7" fillId="0" borderId="12" xfId="0" applyNumberFormat="1" applyFont="1" applyFill="1" applyBorder="1" applyAlignment="1">
      <x:alignment vertical="center"/>
    </x:xf>
    <x:xf numFmtId="0" fontId="7" fillId="0" borderId="13" xfId="0" applyNumberFormat="1" applyFont="1" applyFill="1" applyBorder="1" applyAlignment="1">
      <x:alignment vertical="center"/>
    </x:xf>
    <x:xf numFmtId="202" fontId="7" fillId="0" borderId="13" xfId="0" applyNumberFormat="1" applyFont="1" applyFill="1" applyBorder="1" applyAlignment="1">
      <x:alignment vertical="center"/>
    </x:xf>
    <x:xf numFmtId="203" fontId="7" fillId="0" borderId="0" xfId="0" applyNumberFormat="1" applyFont="1" applyFill="1" applyBorder="1"/>
    <x:xf numFmtId="203" fontId="7" fillId="0" borderId="13" xfId="0" applyNumberFormat="1" applyFont="1" applyFill="1" applyBorder="1"/>
    <x:xf numFmtId="203" fontId="7" fillId="0" borderId="0" xfId="0" applyNumberFormat="1" applyFont="1" applyFill="1" applyBorder="1" applyAlignment="1">
      <x:alignment vertical="center"/>
    </x:xf>
    <x:xf numFmtId="203" fontId="7" fillId="0" borderId="13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5">
    <x:dxf>
      <x:font>
        <x:b/>
        <x:color rgb="FFB91C1C"/>
      </x:font>
      <x:fill>
        <x:patternFill patternType="solid">
          <x:bgColor rgb="FFFDECEC"/>
        </x:patternFill>
      </x:fill>
    </x:dxf>
    <x:dxf>
      <x:font>
        <x:b/>
        <x:color rgb="FFB45309"/>
      </x:font>
      <x:fill>
        <x:patternFill patternType="solid">
          <x:bgColor rgb="FFFFF7E6"/>
        </x:patternFill>
      </x:fill>
    </x:dxf>
    <x:dxf>
      <x:font>
        <x:b/>
        <x:color rgb="FF166534"/>
      </x:font>
      <x:fill>
        <x:patternFill patternType="solid">
          <x:bgColor rgb="FFEAF7EF"/>
        </x:patternFill>
      </x:fill>
    </x:dxf>
    <x:dxf>
      <x:font>
        <x:b/>
        <x:color rgb="FFB91C1C"/>
      </x:font>
      <x:fill>
        <x:patternFill patternType="solid">
          <x:bgColor rgb="FFFDECEC"/>
        </x:patternFill>
      </x:fill>
    </x:dxf>
    <x:dxf>
      <x:font>
        <x:b/>
        <x:color rgb="FF166534"/>
      </x:font>
      <x:fill>
        <x:patternFill patternType="solid">
          <x:bgColor rgb="FFEAF7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9f522e47444bd1" /><Relationship Type="http://schemas.openxmlformats.org/officeDocument/2006/relationships/theme" Target="/xl/theme/theme1.xml" Id="Ra558888a2e474071" /><Relationship Type="http://schemas.openxmlformats.org/officeDocument/2006/relationships/sharedStrings" Target="/xl/sharedStrings.xml" Id="Rbe4bf43600ed4c0f" /><Relationship Type="http://schemas.openxmlformats.org/officeDocument/2006/relationships/worksheet" Target="/xl/worksheets/sheet1.xml" Id="R984f1ab4548b4a3e" /><Relationship Type="http://schemas.openxmlformats.org/officeDocument/2006/relationships/worksheet" Target="/xl/worksheets/sheet2.xml" Id="Rc36e14ff14b94289" /><Relationship Type="http://schemas.openxmlformats.org/officeDocument/2006/relationships/worksheet" Target="/xl/worksheets/sheet3.xml" Id="R596efdc3ae554906" /><Relationship Type="http://schemas.openxmlformats.org/officeDocument/2006/relationships/worksheet" Target="/xl/worksheets/sheet4.xml" Id="R36f6bcfbd2d64f31" /><Relationship Type="http://schemas.openxmlformats.org/officeDocument/2006/relationships/worksheet" Target="/xl/worksheets/sheet5.xml" Id="R03487de6b304492e" /><Relationship Type="http://schemas.openxmlformats.org/officeDocument/2006/relationships/worksheet" Target="/xl/worksheets/sheet6.xml" Id="Ra2d0858534644f7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9724fb968a94fe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Meta por materia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Peso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'Painel'!$A$14:$A$20</c:f>
              <c:strCache>
                <c:ptCount val="0"/>
              </c:strCache>
            </c:strRef>
          </c:cat>
          <c:val>
            <c:numRef>
              <c:f>'Painel'!$B$14:$B$20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Meta 30d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'Painel'!$A$14:$A$20</c:f>
              <c:strCache>
                <c:ptCount val="0"/>
              </c:strCache>
            </c:strRef>
          </c:cat>
          <c:val>
            <c:numRef>
              <c:f>'Painel'!$C$14:$C$20</c:f>
              <c:numCache>
                <c:formatCode>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11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9724fb968a94fe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731357ebdbc49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16" hidden="0" customWidth="1"/>
    <x:col min="5" max="5" width="3" hidden="0" customWidth="1"/>
    <x:col min="6" max="6" width="18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0" hidden="0" customWidth="1"/>
  </x:cols>
  <x:sheetData>
    <x:row r="1" ht="25.5" customHeight="1">
      <x:c r="A1" s="141" t="str">
        <x:v>Medicina UFG - Plano ENEM por materia</x:v>
      </x:c>
      <x:c r="B1" s="141" t="str">
        <x:v>Medicina UFG - Plano ENEM por materia</x:v>
      </x:c>
      <x:c r="C1" s="141" t="str">
        <x:v>Medicina UFG - Plano ENEM por materia</x:v>
      </x:c>
      <x:c r="D1" s="141" t="str">
        <x:v>Medicina UFG - Plano ENEM por materia</x:v>
      </x:c>
      <x:c r="E1" s="141" t="str">
        <x:v>Medicina UFG - Plano ENEM por materia</x:v>
      </x:c>
      <x:c r="F1" s="141" t="str">
        <x:v>Medicina UFG - Plano ENEM por materia</x:v>
      </x:c>
      <x:c r="G1" s="141" t="str">
        <x:v>Medicina UFG - Plano ENEM por materia</x:v>
      </x:c>
      <x:c r="H1" s="141" t="str">
        <x:v>Medicina UFG - Plano ENEM por materia</x:v>
      </x:c>
      <x:c r="I1" s="141" t="str">
        <x:v>Medicina UFG - Plano ENEM por materia</x:v>
      </x:c>
      <x:c r="J1" s="141" t="str">
        <x:v>Medicina UFG - Plano ENEM por materia</x:v>
      </x:c>
      <x:c r="K1" s="141" t="str">
        <x:v>Medicina UFG - Plano ENEM por materia</x:v>
      </x:c>
    </x:row>
    <x:row r="2">
      <x:c r="A2" s="102" t="str">
        <x:v>Acompanhamento do ciclo de 30 dias, focado em questoes, redacao e erros.</x:v>
      </x:c>
      <x:c r="B2" s="102" t="str">
        <x:v>Acompanhamento do ciclo de 30 dias, focado em questoes, redacao e erros.</x:v>
      </x:c>
      <x:c r="C2" s="102" t="str">
        <x:v>Acompanhamento do ciclo de 30 dias, focado em questoes, redacao e erros.</x:v>
      </x:c>
      <x:c r="D2" s="102" t="str">
        <x:v>Acompanhamento do ciclo de 30 dias, focado em questoes, redacao e erros.</x:v>
      </x:c>
      <x:c r="E2" s="102" t="str">
        <x:v>Acompanhamento do ciclo de 30 dias, focado em questoes, redacao e erros.</x:v>
      </x:c>
      <x:c r="F2" s="102" t="str">
        <x:v>Acompanhamento do ciclo de 30 dias, focado em questoes, redacao e erros.</x:v>
      </x:c>
      <x:c r="G2" s="102" t="str">
        <x:v>Acompanhamento do ciclo de 30 dias, focado em questoes, redacao e erros.</x:v>
      </x:c>
      <x:c r="H2" s="102" t="str">
        <x:v>Acompanhamento do ciclo de 30 dias, focado em questoes, redacao e erros.</x:v>
      </x:c>
      <x:c r="I2" s="102" t="str">
        <x:v>Acompanhamento do ciclo de 30 dias, focado em questoes, redacao e erros.</x:v>
      </x:c>
      <x:c r="J2" s="102" t="str">
        <x:v>Acompanhamento do ciclo de 30 dias, focado em questoes, redacao e erros.</x:v>
      </x:c>
      <x:c r="K2" s="102" t="str">
        <x:v>Acompanhamento do ciclo de 30 dias, focado em questoes, redacao e erros.</x:v>
      </x:c>
    </x:row>
    <x:row r="3">
      <x:c r="A3" s="103"/>
      <x:c r="B3" s="103"/>
      <x:c r="C3" s="103"/>
      <x:c r="D3" s="103"/>
      <x:c r="E3" s="103"/>
      <x:c r="F3" s="103"/>
      <x:c r="G3" s="103"/>
      <x:c r="H3" s="103"/>
      <x:c r="I3" s="103"/>
      <x:c r="J3" s="103"/>
      <x:c r="K3" s="103"/>
    </x:row>
    <x:row r="4">
      <x:c r="A4" s="82" t="str">
        <x:v>Indicador</x:v>
      </x:c>
      <x:c r="B4" s="83" t="str">
        <x:v>Meta</x:v>
      </x:c>
      <x:c r="C4" s="83" t="str">
        <x:v>Realizado</x:v>
      </x:c>
      <x:c r="D4" s="84" t="str">
        <x:v>Progresso</x:v>
      </x:c>
      <x:c r="E4" s="103"/>
      <x:c r="F4" s="103"/>
      <x:c r="G4" s="103"/>
      <x:c r="H4" s="103"/>
      <x:c r="I4" s="103"/>
      <x:c r="J4" s="103"/>
      <x:c r="K4" s="103"/>
    </x:row>
    <x:row r="5">
      <x:c r="A5" s="103" t="str">
        <x:v>Questoes no ciclo</x:v>
      </x:c>
      <x:c r="B5" s="104" t="n">
        <x:f>'Materias e Metas'!B15*'Materias e Metas'!B16</x:f>
        <x:v>3600</x:v>
      </x:c>
      <x:c r="C5" s="104" t="n">
        <x:f>SUM('Banco de Questoes'!G5:G204)</x:f>
        <x:v>0</x:v>
      </x:c>
      <x:c r="D5" s="105" t="n">
        <x:f>IF(B5=0,"",C5/B5)</x:f>
        <x:v>0</x:v>
      </x:c>
      <x:c r="E5" s="103"/>
      <x:c r="F5" s="103"/>
      <x:c r="G5" s="103"/>
      <x:c r="H5" s="103"/>
      <x:c r="I5" s="103"/>
      <x:c r="J5" s="103"/>
      <x:c r="K5" s="103"/>
    </x:row>
    <x:row r="6">
      <x:c r="A6" s="103" t="str">
        <x:v>Redacoes no ciclo</x:v>
      </x:c>
      <x:c r="B6" s="104" t="n">
        <x:f>ROUND('Materias e Metas'!B18*('Materias e Metas'!B16/7),0)</x:f>
        <x:v>9</x:v>
      </x:c>
      <x:c r="C6" s="104" t="n">
        <x:f>COUNTIF('Banco de Questoes'!C5:C204,"Redacao")</x:f>
        <x:v>0</x:v>
      </x:c>
      <x:c r="D6" s="105" t="n">
        <x:f>IF(B6=0,"",C6/B6)</x:f>
        <x:v>0</x:v>
      </x:c>
      <x:c r="E6" s="103"/>
      <x:c r="F6" s="103"/>
      <x:c r="G6" s="103"/>
      <x:c r="H6" s="103"/>
      <x:c r="I6" s="103"/>
      <x:c r="J6" s="103"/>
      <x:c r="K6" s="103"/>
    </x:row>
    <x:row r="7">
      <x:c r="A7" s="103" t="str">
        <x:v>Simulados feitos</x:v>
      </x:c>
      <x:c r="B7" s="104" t="n">
        <x:f>'Materias e Metas'!B17</x:f>
        <x:v>4</x:v>
      </x:c>
      <x:c r="C7" s="104" t="n">
        <x:f>COUNTA('Simulados'!A5:A8)</x:f>
        <x:v>0</x:v>
      </x:c>
      <x:c r="D7" s="105" t="n">
        <x:f>IF(B7=0,"",C7/B7)</x:f>
        <x:v>0</x:v>
      </x:c>
      <x:c r="E7" s="103"/>
      <x:c r="F7" s="103"/>
      <x:c r="G7" s="103"/>
      <x:c r="H7" s="103"/>
      <x:c r="I7" s="103"/>
      <x:c r="J7" s="103"/>
      <x:c r="K7" s="103"/>
    </x:row>
    <x:row r="8">
      <x:c r="A8" s="103" t="str">
        <x:v>Acerto medio</x:v>
      </x:c>
      <x:c r="B8" s="104" t="n">
        <x:v>0.75</x:v>
      </x:c>
      <x:c r="C8" s="104" t="str">
        <x:f>IF(SUM('Banco de Questoes'!G5:G204)=0,"",SUM('Banco de Questoes'!H5:H204)/SUM('Banco de Questoes'!G5:G204))</x:f>
      </x:c>
      <x:c r="D8" s="105" t="n">
        <x:f>IF(B8=0,"",C8/B8)</x:f>
        <x:v>0</x:v>
      </x:c>
      <x:c r="E8" s="103"/>
      <x:c r="F8" s="103"/>
      <x:c r="G8" s="103"/>
      <x:c r="H8" s="103"/>
      <x:c r="I8" s="103"/>
      <x:c r="J8" s="103"/>
      <x:c r="K8" s="103"/>
    </x:row>
    <x:row r="9">
      <x:c r="A9" s="103" t="str">
        <x:v>Pontos ponderados</x:v>
      </x:c>
      <x:c r="B9" s="104" t="n">
        <x:f>B5*2.2</x:f>
        <x:v>7920.000000000001</x:v>
      </x:c>
      <x:c r="C9" s="104" t="n">
        <x:f>SUM('Banco de Questoes'!K5:K204)</x:f>
        <x:v>0</x:v>
      </x:c>
      <x:c r="D9" s="105" t="n">
        <x:f>IF(B9=0,"",C9/B9)</x:f>
        <x:v>0</x:v>
      </x:c>
      <x:c r="E9" s="103"/>
      <x:c r="F9" s="103"/>
      <x:c r="G9" s="103"/>
      <x:c r="H9" s="103"/>
      <x:c r="I9" s="103"/>
      <x:c r="J9" s="103"/>
      <x:c r="K9" s="103"/>
    </x:row>
    <x:row r="10">
      <x:c r="A10" s="103" t="str">
        <x:v>Revisoes pendentes</x:v>
      </x:c>
      <x:c r="B10" s="104" t="n">
        <x:v>0</x:v>
      </x:c>
      <x:c r="C10" s="104" t="n">
        <x:f>COUNTIFS('Revisoes'!H5:H164,"Pendente",'Revisoes'!A5:A164,"&lt;&gt;")</x:f>
        <x:v>0</x:v>
      </x:c>
      <x:c r="D10" s="105" t="str">
        <x:f>IF(B10=0,"",C10/B10)</x:f>
      </x:c>
      <x:c r="E10" s="103"/>
      <x:c r="F10" s="103"/>
      <x:c r="G10" s="103"/>
      <x:c r="H10" s="103"/>
      <x:c r="I10" s="103"/>
      <x:c r="J10" s="103"/>
      <x:c r="K10" s="103"/>
    </x:row>
    <x:row r="11">
      <x:c r="A11" s="103"/>
      <x:c r="B11" s="103"/>
      <x:c r="C11" s="103"/>
      <x:c r="D11" s="103"/>
      <x:c r="E11" s="103"/>
      <x:c r="F11" s="103"/>
      <x:c r="G11" s="103"/>
      <x:c r="H11" s="103"/>
      <x:c r="I11" s="103"/>
      <x:c r="J11" s="103"/>
      <x:c r="K11" s="103"/>
    </x:row>
    <x:row r="12">
      <x:c r="A12" s="103"/>
      <x:c r="B12" s="103"/>
      <x:c r="C12" s="103"/>
      <x:c r="D12" s="103"/>
      <x:c r="E12" s="103"/>
      <x:c r="F12" s="103"/>
      <x:c r="G12" s="103"/>
      <x:c r="H12" s="103"/>
      <x:c r="I12" s="103"/>
      <x:c r="J12" s="103"/>
      <x:c r="K12" s="103"/>
    </x:row>
    <x:row r="13">
      <x:c r="A13" s="82" t="str">
        <x:v>Materia</x:v>
      </x:c>
      <x:c r="B13" s="83" t="str">
        <x:v>Peso</x:v>
      </x:c>
      <x:c r="C13" s="83" t="str">
        <x:v>Meta 30d</x:v>
      </x:c>
      <x:c r="D13" s="83" t="str">
        <x:v>% Foco</x:v>
      </x:c>
      <x:c r="E13" s="103"/>
      <x:c r="F13" s="103"/>
      <x:c r="G13" s="103"/>
      <x:c r="H13" s="103"/>
      <x:c r="I13" s="103"/>
      <x:c r="J13" s="103"/>
      <x:c r="K13" s="103"/>
    </x:row>
    <x:row r="14">
      <x:c r="A14" s="106" t="str">
        <x:f>'Materias e Metas'!A5</x:f>
        <x:v>Biologia</x:v>
      </x:c>
      <x:c r="B14" s="107" t="n">
        <x:f>'Materias e Metas'!C5</x:f>
        <x:v>3</x:v>
      </x:c>
      <x:c r="C14" s="107" t="n">
        <x:f>'Materias e Metas'!F5</x:f>
        <x:v>510</x:v>
      </x:c>
      <x:c r="D14" s="105" t="n">
        <x:f>'Materias e Metas'!D5</x:f>
        <x:v>0.1417</x:v>
      </x:c>
      <x:c r="E14" s="103"/>
      <x:c r="F14" s="103"/>
      <x:c r="G14" s="103"/>
      <x:c r="H14" s="103"/>
      <x:c r="I14" s="103"/>
      <x:c r="J14" s="103"/>
      <x:c r="K14" s="103"/>
    </x:row>
    <x:row r="15">
      <x:c r="A15" s="106" t="str">
        <x:f>'Materias e Metas'!A6</x:f>
        <x:v>Quimica</x:v>
      </x:c>
      <x:c r="B15" s="107" t="n">
        <x:f>'Materias e Metas'!C6</x:f>
        <x:v>3</x:v>
      </x:c>
      <x:c r="C15" s="107" t="n">
        <x:f>'Materias e Metas'!F6</x:f>
        <x:v>450</x:v>
      </x:c>
      <x:c r="D15" s="105" t="n">
        <x:f>'Materias e Metas'!D6</x:f>
        <x:v>0.125</x:v>
      </x:c>
      <x:c r="E15" s="103"/>
      <x:c r="F15" s="103"/>
      <x:c r="G15" s="103"/>
      <x:c r="H15" s="103"/>
      <x:c r="I15" s="103"/>
      <x:c r="J15" s="103"/>
      <x:c r="K15" s="103"/>
    </x:row>
    <x:row r="16">
      <x:c r="A16" s="106" t="str">
        <x:f>'Materias e Metas'!A7</x:f>
        <x:v>Fisica</x:v>
      </x:c>
      <x:c r="B16" s="107" t="n">
        <x:f>'Materias e Metas'!C7</x:f>
        <x:v>3</x:v>
      </x:c>
      <x:c r="C16" s="107" t="n">
        <x:f>'Materias e Metas'!F7</x:f>
        <x:v>390</x:v>
      </x:c>
      <x:c r="D16" s="105" t="n">
        <x:f>'Materias e Metas'!D7</x:f>
        <x:v>0.1083</x:v>
      </x:c>
      <x:c r="E16" s="103"/>
      <x:c r="F16" s="103"/>
      <x:c r="G16" s="103"/>
      <x:c r="H16" s="103"/>
      <x:c r="I16" s="103"/>
      <x:c r="J16" s="103"/>
      <x:c r="K16" s="103"/>
    </x:row>
    <x:row r="17">
      <x:c r="A17" s="106" t="str">
        <x:f>'Materias e Metas'!A8</x:f>
        <x:v>Redacao</x:v>
      </x:c>
      <x:c r="B17" s="107" t="n">
        <x:f>'Materias e Metas'!C8</x:f>
        <x:v>2</x:v>
      </x:c>
      <x:c r="C17" s="107" t="n">
        <x:f>'Materias e Metas'!F8</x:f>
        <x:v>0</x:v>
      </x:c>
      <x:c r="D17" s="105" t="n">
        <x:f>'Materias e Metas'!D8</x:f>
        <x:v>0</x:v>
      </x:c>
      <x:c r="E17" s="103"/>
      <x:c r="F17" s="103"/>
      <x:c r="G17" s="103"/>
      <x:c r="H17" s="103"/>
      <x:c r="I17" s="103"/>
      <x:c r="J17" s="103"/>
      <x:c r="K17" s="103"/>
    </x:row>
    <x:row r="18">
      <x:c r="A18" s="106" t="str">
        <x:f>'Materias e Metas'!A9</x:f>
        <x:v>Linguagens</x:v>
      </x:c>
      <x:c r="B18" s="107" t="n">
        <x:f>'Materias e Metas'!C9</x:f>
        <x:v>2</x:v>
      </x:c>
      <x:c r="C18" s="107" t="n">
        <x:f>'Materias e Metas'!F9</x:f>
        <x:v>900</x:v>
      </x:c>
      <x:c r="D18" s="105" t="n">
        <x:f>'Materias e Metas'!D9</x:f>
        <x:v>0.25</x:v>
      </x:c>
      <x:c r="E18" s="103"/>
      <x:c r="F18" s="103"/>
      <x:c r="G18" s="103"/>
      <x:c r="H18" s="103"/>
      <x:c r="I18" s="103"/>
      <x:c r="J18" s="103"/>
      <x:c r="K18" s="103"/>
    </x:row>
    <x:row r="19">
      <x:c r="A19" s="106" t="str">
        <x:f>'Materias e Metas'!A10</x:f>
        <x:v>Matematica</x:v>
      </x:c>
      <x:c r="B19" s="107" t="n">
        <x:f>'Materias e Metas'!C10</x:f>
        <x:v>1.5</x:v>
      </x:c>
      <x:c r="C19" s="107" t="n">
        <x:f>'Materias e Metas'!F10</x:f>
        <x:v>690</x:v>
      </x:c>
      <x:c r="D19" s="105" t="n">
        <x:f>'Materias e Metas'!D10</x:f>
        <x:v>0.1917</x:v>
      </x:c>
      <x:c r="E19" s="103"/>
      <x:c r="F19" s="103"/>
      <x:c r="G19" s="103"/>
      <x:c r="H19" s="103"/>
      <x:c r="I19" s="103"/>
      <x:c r="J19" s="103"/>
      <x:c r="K19" s="103"/>
    </x:row>
    <x:row r="20">
      <x:c r="A20" s="108" t="str">
        <x:f>'Materias e Metas'!A11</x:f>
        <x:v>Humanas</x:v>
      </x:c>
      <x:c r="B20" s="109" t="n">
        <x:f>'Materias e Metas'!C11</x:f>
        <x:v>1.5</x:v>
      </x:c>
      <x:c r="C20" s="109" t="n">
        <x:f>'Materias e Metas'!F11</x:f>
        <x:v>660</x:v>
      </x:c>
      <x:c r="D20" s="110" t="n">
        <x:f>'Materias e Metas'!D11</x:f>
        <x:v>0.1833</x:v>
      </x:c>
      <x:c r="E20" s="103"/>
      <x:c r="F20" s="103"/>
      <x:c r="G20" s="103"/>
      <x:c r="H20" s="103"/>
      <x:c r="I20" s="103"/>
      <x:c r="J20" s="103"/>
      <x:c r="K20" s="103"/>
    </x:row>
    <x:row r="21">
      <x:c r="A21" s="103"/>
      <x:c r="B21" s="103"/>
      <x:c r="C21" s="103"/>
      <x:c r="D21" s="103"/>
      <x:c r="E21" s="103"/>
      <x:c r="F21" s="103"/>
      <x:c r="G21" s="103"/>
      <x:c r="H21" s="103"/>
      <x:c r="I21" s="103"/>
      <x:c r="J21" s="103"/>
      <x:c r="K21" s="103"/>
    </x:row>
    <x:row r="22">
      <x:c r="A22" s="103"/>
      <x:c r="B22" s="103"/>
      <x:c r="C22" s="103"/>
      <x:c r="D22" s="103"/>
      <x:c r="E22" s="103"/>
      <x:c r="F22" s="103"/>
      <x:c r="G22" s="103"/>
      <x:c r="H22" s="103"/>
      <x:c r="I22" s="103"/>
      <x:c r="J22" s="103"/>
      <x:c r="K22" s="103"/>
    </x:row>
    <x:row r="23">
      <x:c r="A23" s="92" t="str">
        <x:v>Como usar este arquivo</x:v>
      </x:c>
      <x:c r="B23" s="92" t="str"/>
      <x:c r="C23" s="92" t="str"/>
      <x:c r="D23" s="92" t="str"/>
      <x:c r="E23" s="92" t="str"/>
      <x:c r="F23" s="92" t="str"/>
      <x:c r="G23" s="92" t="str"/>
      <x:c r="H23" s="92" t="str"/>
      <x:c r="I23" s="92" t="str"/>
      <x:c r="J23" s="92" t="str"/>
      <x:c r="K23" s="92" t="str"/>
    </x:row>
    <x:row r="24">
      <x:c r="A24" s="93" t="str">
        <x:v>1. No Plano 30 dias, faca as questoes indicadas em Biologia, Quimica, Fisica e demais materias.</x:v>
      </x:c>
      <x:c r="B24" s="94" t="str"/>
      <x:c r="C24" s="94" t="str"/>
      <x:c r="D24" s="94" t="str"/>
      <x:c r="E24" s="94" t="str"/>
      <x:c r="F24" s="94" t="str"/>
      <x:c r="G24" s="94" t="str"/>
      <x:c r="H24" s="94" t="str"/>
      <x:c r="I24" s="94" t="str"/>
      <x:c r="J24" s="94" t="str"/>
      <x:c r="K24" s="95" t="str"/>
    </x:row>
    <x:row r="25">
      <x:c r="A25" s="96" t="str">
        <x:v>2. No Banco de Questoes, registre a materia diretamente; area e peso aparecem automaticamente.</x:v>
      </x:c>
      <x:c r="B25" s="97" t="str"/>
      <x:c r="C25" s="97" t="str"/>
      <x:c r="D25" s="97" t="str"/>
      <x:c r="E25" s="97" t="str"/>
      <x:c r="F25" s="97" t="str"/>
      <x:c r="G25" s="97" t="str"/>
      <x:c r="H25" s="97" t="str"/>
      <x:c r="I25" s="97" t="str"/>
      <x:c r="J25" s="97" t="str"/>
      <x:c r="K25" s="98" t="str"/>
    </x:row>
    <x:row r="26">
      <x:c r="A26" s="96" t="str">
        <x:v>3. Nos simulados, separe Natureza em Biologia, Quimica e Fisica para saber onde atacar.</x:v>
      </x:c>
      <x:c r="B26" s="97" t="str"/>
      <x:c r="C26" s="97" t="str"/>
      <x:c r="D26" s="97" t="str"/>
      <x:c r="E26" s="97" t="str"/>
      <x:c r="F26" s="97" t="str"/>
      <x:c r="G26" s="97" t="str"/>
      <x:c r="H26" s="97" t="str"/>
      <x:c r="I26" s="97" t="str"/>
      <x:c r="J26" s="97" t="str"/>
      <x:c r="K26" s="98" t="str"/>
    </x:row>
    <x:row r="27">
      <x:c r="A27" s="99" t="str">
        <x:v>4. Repita o ciclo por 3 meses; nas ultimas 2 semanas, reduza teoria e aumente revisao de erro + simulados.</x:v>
      </x:c>
      <x:c r="B27" s="100" t="str"/>
      <x:c r="C27" s="100" t="str"/>
      <x:c r="D27" s="100" t="str"/>
      <x:c r="E27" s="100" t="str"/>
      <x:c r="F27" s="100" t="str"/>
      <x:c r="G27" s="100" t="str"/>
      <x:c r="H27" s="100" t="str"/>
      <x:c r="I27" s="100" t="str"/>
      <x:c r="J27" s="100" t="str"/>
      <x:c r="K27" s="101" t="str"/>
    </x:row>
  </x:sheetData>
  <x:mergeCells>
    <x:mergeCell ref="A1:K1"/>
    <x:mergeCell ref="A2:K2"/>
    <x:mergeCell ref="A23:K23"/>
    <x:mergeCell ref="A24:K24"/>
    <x:mergeCell ref="A25:K25"/>
    <x:mergeCell ref="A26:K26"/>
    <x:mergeCell ref="A27:K27"/>
  </x:mergeCells>
  <x:pageMargins left="0.7" right="0.7" top="0.75" bottom="0.75" header="0.3" footer="0.3"/>
  <x:drawing xmlns:r="http://schemas.openxmlformats.org/officeDocument/2006/relationships" r:id="Rc731357ebdbc494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11" hidden="0" customWidth="1"/>
    <x:col min="4" max="4" width="13" hidden="0" customWidth="1"/>
    <x:col min="5" max="5" width="16" hidden="0" customWidth="1"/>
    <x:col min="6" max="6" width="16" hidden="0" customWidth="1"/>
    <x:col min="7" max="7" width="17" hidden="0" customWidth="1"/>
    <x:col min="8" max="8" width="42" hidden="0" customWidth="1"/>
    <x:col min="9" max="9" width="42" hidden="0" customWidth="1"/>
  </x:cols>
  <x:sheetData>
    <x:row r="1" ht="25.5" customHeight="1">
      <x:c r="A1" s="141" t="str">
        <x:v>Materias, pesos e metas</x:v>
      </x:c>
      <x:c r="B1" s="141" t="str">
        <x:v>Materias, pesos e metas</x:v>
      </x:c>
      <x:c r="C1" s="141" t="str">
        <x:v>Materias, pesos e metas</x:v>
      </x:c>
      <x:c r="D1" s="141" t="str">
        <x:v>Materias, pesos e metas</x:v>
      </x:c>
      <x:c r="E1" s="141" t="str">
        <x:v>Materias, pesos e metas</x:v>
      </x:c>
      <x:c r="F1" s="141" t="str">
        <x:v>Materias, pesos e metas</x:v>
      </x:c>
      <x:c r="G1" s="141" t="str">
        <x:v>Materias, pesos e metas</x:v>
      </x:c>
      <x:c r="H1" s="141" t="str">
        <x:v>Materias, pesos e metas</x:v>
      </x:c>
      <x:c r="I1" s="141" t="str">
        <x:v>Materias, pesos e metas</x:v>
      </x:c>
    </x:row>
    <x:row r="2">
      <x:c r="A2" s="102" t="str">
        <x:v>A execucao e por materia. O peso da area fica automatico para priorizar sem confundir.</x:v>
      </x:c>
      <x:c r="B2" s="102" t="str">
        <x:v>A execucao e por materia. O peso da area fica automatico para priorizar sem confundir.</x:v>
      </x:c>
      <x:c r="C2" s="102" t="str">
        <x:v>A execucao e por materia. O peso da area fica automatico para priorizar sem confundir.</x:v>
      </x:c>
      <x:c r="D2" s="102" t="str">
        <x:v>A execucao e por materia. O peso da area fica automatico para priorizar sem confundir.</x:v>
      </x:c>
      <x:c r="E2" s="102" t="str">
        <x:v>A execucao e por materia. O peso da area fica automatico para priorizar sem confundir.</x:v>
      </x:c>
      <x:c r="F2" s="102" t="str">
        <x:v>A execucao e por materia. O peso da area fica automatico para priorizar sem confundir.</x:v>
      </x:c>
      <x:c r="G2" s="102" t="str">
        <x:v>A execucao e por materia. O peso da area fica automatico para priorizar sem confundir.</x:v>
      </x:c>
      <x:c r="H2" s="102" t="str">
        <x:v>A execucao e por materia. O peso da area fica automatico para priorizar sem confundir.</x:v>
      </x:c>
      <x:c r="I2" s="102" t="str">
        <x:v>A execucao e por materia. O peso da area fica automatico para priorizar sem confundir.</x:v>
      </x:c>
    </x:row>
    <x:row r="3">
      <x:c r="A3" s="103"/>
      <x:c r="B3" s="103"/>
      <x:c r="C3" s="103"/>
      <x:c r="D3" s="103"/>
      <x:c r="E3" s="103"/>
      <x:c r="F3" s="103"/>
      <x:c r="G3" s="103"/>
      <x:c r="H3" s="103"/>
      <x:c r="I3" s="103"/>
    </x:row>
    <x:row r="4">
      <x:c r="A4" s="82" t="str">
        <x:v>Materia</x:v>
      </x:c>
      <x:c r="B4" s="83" t="str">
        <x:v>Area ENEM</x:v>
      </x:c>
      <x:c r="C4" s="83" t="str">
        <x:v>Peso area</x:v>
      </x:c>
      <x:c r="D4" s="83" t="str">
        <x:v>% foco</x:v>
      </x:c>
      <x:c r="E4" s="83" t="str">
        <x:v>Questoes/dia</x:v>
      </x:c>
      <x:c r="F4" s="83" t="str">
        <x:v>Questoes/30 dias</x:v>
      </x:c>
      <x:c r="G4" s="83" t="str">
        <x:v>Horas/semana</x:v>
      </x:c>
      <x:c r="H4" s="83" t="str">
        <x:v>Prioridade</x:v>
      </x:c>
      <x:c r="I4" s="84" t="str">
        <x:v>Como estudar</x:v>
      </x:c>
    </x:row>
    <x:row r="5">
      <x:c r="A5" s="103" t="str">
        <x:v>Biologia</x:v>
      </x:c>
      <x:c r="B5" s="103" t="str">
        <x:v>Ciencias da Natureza</x:v>
      </x:c>
      <x:c r="C5" s="107" t="n">
        <x:v>3</x:v>
      </x:c>
      <x:c r="D5" s="107" t="n">
        <x:v>0.1417</x:v>
      </x:c>
      <x:c r="E5" s="107" t="n">
        <x:f>ROUND($B$15*D5,0)</x:f>
        <x:v>17</x:v>
      </x:c>
      <x:c r="F5" s="107" t="n">
        <x:f>E5*$B$16</x:f>
        <x:v>510</x:v>
      </x:c>
      <x:c r="G5" s="107" t="n">
        <x:v>6</x:v>
      </x:c>
      <x:c r="H5" s="103" t="str">
        <x:v>Ecologia, genetica, fisiologia, citologia</x:v>
      </x:c>
      <x:c r="I5" s="103" t="str">
        <x:v>Questao ENEM + erro classificado no mesmo dia</x:v>
      </x:c>
    </x:row>
    <x:row r="6">
      <x:c r="A6" s="103" t="str">
        <x:v>Quimica</x:v>
      </x:c>
      <x:c r="B6" s="103" t="str">
        <x:v>Ciencias da Natureza</x:v>
      </x:c>
      <x:c r="C6" s="107" t="n">
        <x:v>3</x:v>
      </x:c>
      <x:c r="D6" s="107" t="n">
        <x:v>0.125</x:v>
      </x:c>
      <x:c r="E6" s="107" t="n">
        <x:f>ROUND($B$15*D6,0)</x:f>
        <x:v>15</x:v>
      </x:c>
      <x:c r="F6" s="107" t="n">
        <x:f>E6*$B$16</x:f>
        <x:v>450</x:v>
      </x:c>
      <x:c r="G6" s="107" t="n">
        <x:v>5</x:v>
      </x:c>
      <x:c r="H6" s="103" t="str">
        <x:v>Estequiometria, solucoes, organica, eletroquimica</x:v>
      </x:c>
      <x:c r="I6" s="103" t="str">
        <x:v>Lista curta, correcao ativa e formulas aplicadas</x:v>
      </x:c>
    </x:row>
    <x:row r="7">
      <x:c r="A7" s="103" t="str">
        <x:v>Fisica</x:v>
      </x:c>
      <x:c r="B7" s="103" t="str">
        <x:v>Ciencias da Natureza</x:v>
      </x:c>
      <x:c r="C7" s="107" t="n">
        <x:v>3</x:v>
      </x:c>
      <x:c r="D7" s="107" t="n">
        <x:v>0.1083</x:v>
      </x:c>
      <x:c r="E7" s="107" t="n">
        <x:f>ROUND($B$15*D7,0)</x:f>
        <x:v>13</x:v>
      </x:c>
      <x:c r="F7" s="107" t="n">
        <x:f>E7*$B$16</x:f>
        <x:v>390</x:v>
      </x:c>
      <x:c r="G7" s="107" t="n">
        <x:v>5</x:v>
      </x:c>
      <x:c r="H7" s="103" t="str">
        <x:v>Mecanica, energia, eletricidade, ondas</x:v>
      </x:c>
      <x:c r="I7" s="103" t="str">
        <x:v>Unidade, desenho da situacao e estimativa antes da conta</x:v>
      </x:c>
    </x:row>
    <x:row r="8">
      <x:c r="A8" s="103" t="str">
        <x:v>Redacao</x:v>
      </x:c>
      <x:c r="B8" s="103" t="str">
        <x:v>Redacao</x:v>
      </x:c>
      <x:c r="C8" s="107" t="n">
        <x:v>2</x:v>
      </x:c>
      <x:c r="D8" s="107" t="n">
        <x:v>0</x:v>
      </x:c>
      <x:c r="E8" s="107" t="n">
        <x:f>ROUND($B$15*D8,0)</x:f>
        <x:v>0</x:v>
      </x:c>
      <x:c r="F8" s="107" t="n">
        <x:f>E8*$B$16</x:f>
        <x:v>0</x:v>
      </x:c>
      <x:c r="G8" s="107" t="n">
        <x:v>7</x:v>
      </x:c>
      <x:c r="H8" s="103" t="str">
        <x:v>Projeto de texto, repertorio e proposta</x:v>
      </x:c>
      <x:c r="I8" s="103" t="str">
        <x:v>2 redacoes por semana + reescrita dos piores parágrafos</x:v>
      </x:c>
    </x:row>
    <x:row r="9">
      <x:c r="A9" s="103" t="str">
        <x:v>Linguagens</x:v>
      </x:c>
      <x:c r="B9" s="103" t="str">
        <x:v>Linguagens</x:v>
      </x:c>
      <x:c r="C9" s="107" t="n">
        <x:v>2</x:v>
      </x:c>
      <x:c r="D9" s="107" t="n">
        <x:v>0.25</x:v>
      </x:c>
      <x:c r="E9" s="107" t="n">
        <x:f>ROUND($B$15*D9,0)</x:f>
        <x:v>30</x:v>
      </x:c>
      <x:c r="F9" s="107" t="n">
        <x:f>E9*$B$16</x:f>
        <x:v>900</x:v>
      </x:c>
      <x:c r="G9" s="107" t="n">
        <x:v>8</x:v>
      </x:c>
      <x:c r="H9" s="103" t="str">
        <x:v>Interpretacao, literatura, gramatica por erro</x:v>
      </x:c>
      <x:c r="I9" s="103" t="str">
        <x:v>Leitura diaria e questoes por habilidade</x:v>
      </x:c>
    </x:row>
    <x:row r="10">
      <x:c r="A10" s="103" t="str">
        <x:v>Matematica</x:v>
      </x:c>
      <x:c r="B10" s="103" t="str">
        <x:v>Matematica</x:v>
      </x:c>
      <x:c r="C10" s="107" t="n">
        <x:v>1.5</x:v>
      </x:c>
      <x:c r="D10" s="107" t="n">
        <x:v>0.1917</x:v>
      </x:c>
      <x:c r="E10" s="107" t="n">
        <x:f>ROUND($B$15*D10,0)</x:f>
        <x:v>23</x:v>
      </x:c>
      <x:c r="F10" s="107" t="n">
        <x:f>E10*$B$16</x:f>
        <x:v>690</x:v>
      </x:c>
      <x:c r="G10" s="107" t="n">
        <x:v>7</x:v>
      </x:c>
      <x:c r="H10" s="103" t="str">
        <x:v>Funcoes, geometria, estatistica, porcentagem</x:v>
      </x:c>
      <x:c r="I10" s="103" t="str">
        <x:v>Resolver limpo, conferir unidade e registrar padrao de erro</x:v>
      </x:c>
    </x:row>
    <x:row r="11">
      <x:c r="A11" s="103" t="str">
        <x:v>Humanas</x:v>
      </x:c>
      <x:c r="B11" s="103" t="str">
        <x:v>Ciencias Humanas</x:v>
      </x:c>
      <x:c r="C11" s="107" t="n">
        <x:v>1.5</x:v>
      </x:c>
      <x:c r="D11" s="107" t="n">
        <x:v>0.1833</x:v>
      </x:c>
      <x:c r="E11" s="107" t="n">
        <x:f>ROUND($B$15*D11,0)</x:f>
        <x:v>22</x:v>
      </x:c>
      <x:c r="F11" s="107" t="n">
        <x:f>E11*$B$16</x:f>
        <x:v>660</x:v>
      </x:c>
      <x:c r="G11" s="107" t="n">
        <x:v>6</x:v>
      </x:c>
      <x:c r="H11" s="103" t="str">
        <x:v>Historia do Brasil, geografia, sociologia, filosofia</x:v>
      </x:c>
      <x:c r="I11" s="103" t="str">
        <x:v>Questoes ENEM com causa, consequencia e conceito</x:v>
      </x:c>
    </x:row>
    <x:row r="12">
      <x:c r="A12" s="103"/>
      <x:c r="B12" s="103"/>
      <x:c r="C12" s="103"/>
      <x:c r="D12" s="103"/>
      <x:c r="E12" s="103"/>
      <x:c r="F12" s="103"/>
      <x:c r="G12" s="103"/>
      <x:c r="H12" s="103"/>
      <x:c r="I12" s="103"/>
    </x:row>
    <x:row r="13">
      <x:c r="A13" s="103"/>
      <x:c r="B13" s="103"/>
      <x:c r="C13" s="103"/>
      <x:c r="D13" s="103"/>
      <x:c r="E13" s="103"/>
      <x:c r="F13" s="103"/>
      <x:c r="G13" s="103"/>
      <x:c r="H13" s="103"/>
      <x:c r="I13" s="103"/>
    </x:row>
    <x:row r="14">
      <x:c r="A14" s="82" t="str">
        <x:v>Premissa</x:v>
      </x:c>
      <x:c r="B14" s="84" t="str">
        <x:v>Valor</x:v>
      </x:c>
      <x:c r="C14" s="103"/>
      <x:c r="D14" s="103"/>
      <x:c r="E14" s="103"/>
      <x:c r="F14" s="103"/>
      <x:c r="G14" s="103"/>
      <x:c r="H14" s="103"/>
      <x:c r="I14" s="103"/>
    </x:row>
    <x:row r="15">
      <x:c r="A15" s="103" t="str">
        <x:v>Questoes objetivas por dia</x:v>
      </x:c>
      <x:c r="B15" s="111" t="n">
        <x:v>120</x:v>
      </x:c>
      <x:c r="C15" s="103"/>
      <x:c r="D15" s="103"/>
      <x:c r="E15" s="103"/>
      <x:c r="F15" s="103"/>
      <x:c r="G15" s="103"/>
      <x:c r="H15" s="103"/>
      <x:c r="I15" s="103"/>
    </x:row>
    <x:row r="16">
      <x:c r="A16" s="103" t="str">
        <x:v>Dias por ciclo</x:v>
      </x:c>
      <x:c r="B16" s="112" t="n">
        <x:v>30</x:v>
      </x:c>
      <x:c r="C16" s="103"/>
      <x:c r="D16" s="103"/>
      <x:c r="E16" s="103"/>
      <x:c r="F16" s="103"/>
      <x:c r="G16" s="103"/>
      <x:c r="H16" s="103"/>
      <x:c r="I16" s="103"/>
    </x:row>
    <x:row r="17">
      <x:c r="A17" s="103" t="str">
        <x:v>Simulados completos no ciclo</x:v>
      </x:c>
      <x:c r="B17" s="112" t="n">
        <x:v>4</x:v>
      </x:c>
      <x:c r="C17" s="103"/>
      <x:c r="D17" s="103"/>
      <x:c r="E17" s="103"/>
      <x:c r="F17" s="103"/>
      <x:c r="G17" s="103"/>
      <x:c r="H17" s="103"/>
      <x:c r="I17" s="103"/>
    </x:row>
    <x:row r="18">
      <x:c r="A18" s="103" t="str">
        <x:v>Redacoes por semana</x:v>
      </x:c>
      <x:c r="B18" s="112" t="n">
        <x:v>2</x:v>
      </x:c>
      <x:c r="C18" s="103"/>
      <x:c r="D18" s="103"/>
      <x:c r="E18" s="103"/>
      <x:c r="F18" s="103"/>
      <x:c r="G18" s="103"/>
      <x:c r="H18" s="103"/>
      <x:c r="I18" s="103"/>
    </x:row>
    <x:row r="19">
      <x:c r="A19" s="103" t="str">
        <x:v>Meses disponiveis</x:v>
      </x:c>
      <x:c r="B19" s="113" t="n">
        <x:v>3.5</x:v>
      </x:c>
      <x:c r="C19" s="103"/>
      <x:c r="D19" s="103"/>
      <x:c r="E19" s="103"/>
      <x:c r="F19" s="103"/>
      <x:c r="G19" s="103"/>
      <x:c r="H19" s="103"/>
      <x:c r="I19" s="103"/>
    </x:row>
    <x:row r="20">
      <x:c r="A20" s="103"/>
      <x:c r="B20" s="103"/>
      <x:c r="C20" s="103"/>
      <x:c r="D20" s="103"/>
      <x:c r="E20" s="103"/>
      <x:c r="F20" s="103"/>
      <x:c r="G20" s="103"/>
      <x:c r="H20" s="103"/>
      <x:c r="I20" s="103"/>
    </x:row>
    <x:row r="21" ht="27" customHeight="1">
      <x:c r="A21" s="114" t="str">
        <x:v>Regra do ciclo</x:v>
      </x:c>
      <x:c r="B21" s="93" t="str">
        <x:v>Todo dia tem questoes por materia. Toda questao errada vira revisao ou acao corretiva.</x:v>
      </x:c>
      <x:c r="C21" s="94"/>
      <x:c r="D21" s="94"/>
      <x:c r="E21" s="94"/>
      <x:c r="F21" s="94"/>
      <x:c r="G21" s="94"/>
      <x:c r="H21" s="94"/>
      <x:c r="I21" s="95"/>
    </x:row>
    <x:row r="22" ht="27" customHeight="1">
      <x:c r="A22" s="114" t="str">
        <x:v>Prioridade 1</x:v>
      </x:c>
      <x:c r="B22" s="96" t="str">
        <x:v>Biologia, Quimica e Fisica aparecem separadas porque Natureza pesa 3,0 e decide Medicina.</x:v>
      </x:c>
      <x:c r="C22" s="97"/>
      <x:c r="D22" s="97"/>
      <x:c r="E22" s="97"/>
      <x:c r="F22" s="97"/>
      <x:c r="G22" s="97"/>
      <x:c r="H22" s="97"/>
      <x:c r="I22" s="98"/>
    </x:row>
    <x:row r="23" ht="27" customHeight="1">
      <x:c r="A23" s="114" t="str">
        <x:v>Prioridade 2</x:v>
      </x:c>
      <x:c r="B23" s="96" t="str">
        <x:v>Redacao e Linguagens entram toda semana: elas sustentam nota alta e reduzem oscilacao.</x:v>
      </x:c>
      <x:c r="C23" s="97"/>
      <x:c r="D23" s="97"/>
      <x:c r="E23" s="97"/>
      <x:c r="F23" s="97"/>
      <x:c r="G23" s="97"/>
      <x:c r="H23" s="97"/>
      <x:c r="I23" s="98"/>
    </x:row>
    <x:row r="24" ht="27" customHeight="1">
      <x:c r="A24" s="114" t="str">
        <x:v>Prioridade 3</x:v>
      </x:c>
      <x:c r="B24" s="96" t="str">
        <x:v>Matematica e Humanas mantem frequencia para nao perder pontos baratos.</x:v>
      </x:c>
      <x:c r="C24" s="97"/>
      <x:c r="D24" s="97"/>
      <x:c r="E24" s="97"/>
      <x:c r="F24" s="97"/>
      <x:c r="G24" s="97"/>
      <x:c r="H24" s="97"/>
      <x:c r="I24" s="98"/>
    </x:row>
    <x:row r="25" ht="27" customHeight="1">
      <x:c r="A25" s="114" t="str">
        <x:v>Meta mental</x:v>
      </x:c>
      <x:c r="B25" s="99" t="str">
        <x:v>Nao conte questao feita; conte questao corrigida e erro entendido.</x:v>
      </x:c>
      <x:c r="C25" s="100"/>
      <x:c r="D25" s="100"/>
      <x:c r="E25" s="100"/>
      <x:c r="F25" s="100"/>
      <x:c r="G25" s="100"/>
      <x:c r="H25" s="100"/>
      <x:c r="I25" s="101"/>
    </x:row>
  </x:sheetData>
  <x:mergeCells>
    <x:mergeCell ref="A1:I1"/>
    <x:mergeCell ref="A2:I2"/>
    <x:mergeCell ref="B21:I21"/>
    <x:mergeCell ref="B22:I22"/>
    <x:mergeCell ref="B23:I23"/>
    <x:mergeCell ref="B24:I24"/>
    <x:mergeCell ref="B25:I25"/>
  </x:mergeCells>
  <x:dataValidations count="1">
    <x:dataValidation type="whole" operator="between" sqref="B15:B18">
      <x:formula1>1</x:formula1>
      <x:formula2>400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3" hidden="0" customWidth="1"/>
    <x:col min="3" max="3" width="28" hidden="0" customWidth="1"/>
    <x:col min="4" max="4" width="10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10" hidden="0" customWidth="1"/>
    <x:col min="10" max="10" width="10" hidden="0" customWidth="1"/>
    <x:col min="11" max="11" width="14" hidden="0" customWidth="1"/>
    <x:col min="12" max="12" width="18" hidden="0" customWidth="1"/>
    <x:col min="13" max="13" width="22" hidden="0" customWidth="1"/>
    <x:col min="14" max="14" width="34" hidden="0" customWidth="1"/>
  </x:cols>
  <x:sheetData>
    <x:row r="1" ht="25.5" customHeight="1">
      <x:c r="A1" s="141" t="str">
        <x:v>Plano de 30 dias por materia</x:v>
      </x:c>
      <x:c r="B1" s="141" t="str">
        <x:v>Plano de 30 dias por materia</x:v>
      </x:c>
      <x:c r="C1" s="141" t="str">
        <x:v>Plano de 30 dias por materia</x:v>
      </x:c>
      <x:c r="D1" s="141" t="str">
        <x:v>Plano de 30 dias por materia</x:v>
      </x:c>
      <x:c r="E1" s="141" t="str">
        <x:v>Plano de 30 dias por materia</x:v>
      </x:c>
      <x:c r="F1" s="141" t="str">
        <x:v>Plano de 30 dias por materia</x:v>
      </x:c>
      <x:c r="G1" s="141" t="str">
        <x:v>Plano de 30 dias por materia</x:v>
      </x:c>
      <x:c r="H1" s="141" t="str">
        <x:v>Plano de 30 dias por materia</x:v>
      </x:c>
      <x:c r="I1" s="141" t="str">
        <x:v>Plano de 30 dias por materia</x:v>
      </x:c>
      <x:c r="J1" s="141" t="str">
        <x:v>Plano de 30 dias por materia</x:v>
      </x:c>
      <x:c r="K1" s="141" t="str">
        <x:v>Plano de 30 dias por materia</x:v>
      </x:c>
      <x:c r="L1" s="141" t="str">
        <x:v>Plano de 30 dias por materia</x:v>
      </x:c>
      <x:c r="M1" s="141" t="str">
        <x:v>Plano de 30 dias por materia</x:v>
      </x:c>
      <x:c r="N1" s="141" t="str">
        <x:v>Plano de 30 dias por materia</x:v>
      </x:c>
    </x:row>
    <x:row r="2">
      <x:c r="A2" s="102" t="str">
        <x:v>Repita este ciclo 3 vezes; nas ultimas semanas, aumente simulados, redacao e revisao de erros.</x:v>
      </x:c>
      <x:c r="B2" s="102" t="str">
        <x:v>Repita este ciclo 3 vezes; nas ultimas semanas, aumente simulados, redacao e revisao de erros.</x:v>
      </x:c>
      <x:c r="C2" s="102" t="str">
        <x:v>Repita este ciclo 3 vezes; nas ultimas semanas, aumente simulados, redacao e revisao de erros.</x:v>
      </x:c>
      <x:c r="D2" s="102" t="str">
        <x:v>Repita este ciclo 3 vezes; nas ultimas semanas, aumente simulados, redacao e revisao de erros.</x:v>
      </x:c>
      <x:c r="E2" s="102" t="str">
        <x:v>Repita este ciclo 3 vezes; nas ultimas semanas, aumente simulados, redacao e revisao de erros.</x:v>
      </x:c>
      <x:c r="F2" s="102" t="str">
        <x:v>Repita este ciclo 3 vezes; nas ultimas semanas, aumente simulados, redacao e revisao de erros.</x:v>
      </x:c>
      <x:c r="G2" s="102" t="str">
        <x:v>Repita este ciclo 3 vezes; nas ultimas semanas, aumente simulados, redacao e revisao de erros.</x:v>
      </x:c>
      <x:c r="H2" s="102" t="str">
        <x:v>Repita este ciclo 3 vezes; nas ultimas semanas, aumente simulados, redacao e revisao de erros.</x:v>
      </x:c>
      <x:c r="I2" s="102" t="str">
        <x:v>Repita este ciclo 3 vezes; nas ultimas semanas, aumente simulados, redacao e revisao de erros.</x:v>
      </x:c>
      <x:c r="J2" s="102" t="str">
        <x:v>Repita este ciclo 3 vezes; nas ultimas semanas, aumente simulados, redacao e revisao de erros.</x:v>
      </x:c>
      <x:c r="K2" s="102" t="str">
        <x:v>Repita este ciclo 3 vezes; nas ultimas semanas, aumente simulados, redacao e revisao de erros.</x:v>
      </x:c>
      <x:c r="L2" s="102" t="str">
        <x:v>Repita este ciclo 3 vezes; nas ultimas semanas, aumente simulados, redacao e revisao de erros.</x:v>
      </x:c>
      <x:c r="M2" s="102" t="str">
        <x:v>Repita este ciclo 3 vezes; nas ultimas semanas, aumente simulados, redacao e revisao de erros.</x:v>
      </x:c>
      <x:c r="N2" s="102" t="str">
        <x:v>Repita este ciclo 3 vezes; nas ultimas semanas, aumente simulados, redacao e revisao de erros.</x:v>
      </x:c>
    </x:row>
    <x:row r="3">
      <x:c r="A3" s="103"/>
      <x:c r="B3" s="103"/>
      <x:c r="C3" s="103"/>
      <x:c r="D3" s="103"/>
      <x:c r="E3" s="103"/>
      <x:c r="F3" s="103"/>
      <x:c r="G3" s="103"/>
      <x:c r="H3" s="103"/>
      <x:c r="I3" s="103"/>
      <x:c r="J3" s="103"/>
      <x:c r="K3" s="103"/>
      <x:c r="L3" s="103"/>
      <x:c r="M3" s="103"/>
      <x:c r="N3" s="103"/>
    </x:row>
    <x:row r="4">
      <x:c r="A4" s="82" t="str">
        <x:v>Dia</x:v>
      </x:c>
      <x:c r="B4" s="83" t="str">
        <x:v>Tipo</x:v>
      </x:c>
      <x:c r="C4" s="83" t="str">
        <x:v>Foco do dia</x:v>
      </x:c>
      <x:c r="D4" s="83" t="str">
        <x:v>Biologia</x:v>
      </x:c>
      <x:c r="E4" s="83" t="str">
        <x:v>Quimica</x:v>
      </x:c>
      <x:c r="F4" s="83" t="str">
        <x:v>Fisica</x:v>
      </x:c>
      <x:c r="G4" s="83" t="str">
        <x:v>Linguagens</x:v>
      </x:c>
      <x:c r="H4" s="83" t="str">
        <x:v>Matematica</x:v>
      </x:c>
      <x:c r="I4" s="83" t="str">
        <x:v>Humanas</x:v>
      </x:c>
      <x:c r="J4" s="83" t="str">
        <x:v>Redacao</x:v>
      </x:c>
      <x:c r="K4" s="83" t="str">
        <x:v>Total questoes</x:v>
      </x:c>
      <x:c r="L4" s="83" t="str">
        <x:v>Revisao</x:v>
      </x:c>
      <x:c r="M4" s="83" t="str">
        <x:v>Entrega</x:v>
      </x:c>
      <x:c r="N4" s="83" t="str">
        <x:v>Observacoes</x:v>
      </x:c>
    </x:row>
    <x:row r="5">
      <x:c r="A5" s="121" t="n">
        <x:v>1</x:v>
      </x:c>
      <x:c r="B5" s="122" t="str">
        <x:v>Base</x:v>
      </x:c>
      <x:c r="C5" s="122" t="str">
        <x:v>Diagnostico por materia</x:v>
      </x:c>
      <x:c r="D5" s="123" t="n">
        <x:v>18</x:v>
      </x:c>
      <x:c r="E5" s="123" t="n">
        <x:v>16</x:v>
      </x:c>
      <x:c r="F5" s="123" t="n">
        <x:v>14</x:v>
      </x:c>
      <x:c r="G5" s="123" t="n">
        <x:v>28</x:v>
      </x:c>
      <x:c r="H5" s="123" t="n">
        <x:v>22</x:v>
      </x:c>
      <x:c r="I5" s="123" t="n">
        <x:v>22</x:v>
      </x:c>
      <x:c r="J5" s="123" t="n">
        <x:v>0</x:v>
      </x:c>
      <x:c r="K5" s="123" t="n">
        <x:f>SUM(D5:I5)</x:f>
        <x:v>120</x:v>
      </x:c>
      <x:c r="L5" s="122" t="str">
        <x:v>Erros do dia</x:v>
      </x:c>
      <x:c r="M5" s="122" t="str">
        <x:v>Mapa de lacunas</x:v>
      </x:c>
      <x:c r="N5" s="122" t="str">
        <x:v>Medir nivel real em cada materia.</x:v>
      </x:c>
    </x:row>
    <x:row r="6">
      <x:c r="A6" s="121" t="n">
        <x:v>2</x:v>
      </x:c>
      <x:c r="B6" s="122" t="str">
        <x:v>Lista</x:v>
      </x:c>
      <x:c r="C6" s="122" t="str">
        <x:v>Biologia + Linguagens</x:v>
      </x:c>
      <x:c r="D6" s="123" t="n">
        <x:v>28</x:v>
      </x:c>
      <x:c r="E6" s="123" t="n">
        <x:v>12</x:v>
      </x:c>
      <x:c r="F6" s="123" t="n">
        <x:v>8</x:v>
      </x:c>
      <x:c r="G6" s="123" t="n">
        <x:v>34</x:v>
      </x:c>
      <x:c r="H6" s="123" t="n">
        <x:v>18</x:v>
      </x:c>
      <x:c r="I6" s="123" t="n">
        <x:v>20</x:v>
      </x:c>
      <x:c r="J6" s="123" t="n">
        <x:v>0</x:v>
      </x:c>
      <x:c r="K6" s="123" t="n">
        <x:f>SUM(D6:I6)</x:f>
        <x:v>120</x:v>
      </x:c>
      <x:c r="L6" s="122" t="str">
        <x:v>Erros D1-D2</x:v>
      </x:c>
      <x:c r="M6" s="122" t="str">
        <x:v>20 erros classificados</x:v>
      </x:c>
      <x:c r="N6" s="122" t="str">
        <x:v>Natureza separada para saber onde doi.</x:v>
      </x:c>
    </x:row>
    <x:row r="7">
      <x:c r="A7" s="121" t="n">
        <x:v>3</x:v>
      </x:c>
      <x:c r="B7" s="122" t="str">
        <x:v>Lista</x:v>
      </x:c>
      <x:c r="C7" s="122" t="str">
        <x:v>Quimica + Matematica</x:v>
      </x:c>
      <x:c r="D7" s="123" t="n">
        <x:v>14</x:v>
      </x:c>
      <x:c r="E7" s="123" t="n">
        <x:v>28</x:v>
      </x:c>
      <x:c r="F7" s="123" t="n">
        <x:v>10</x:v>
      </x:c>
      <x:c r="G7" s="123" t="n">
        <x:v>24</x:v>
      </x:c>
      <x:c r="H7" s="123" t="n">
        <x:v>30</x:v>
      </x:c>
      <x:c r="I7" s="123" t="n">
        <x:v>14</x:v>
      </x:c>
      <x:c r="J7" s="123" t="n">
        <x:v>0</x:v>
      </x:c>
      <x:c r="K7" s="123" t="n">
        <x:f>SUM(D7:I7)</x:f>
        <x:v>120</x:v>
      </x:c>
      <x:c r="L7" s="122" t="str">
        <x:v>Flashcards</x:v>
      </x:c>
      <x:c r="M7" s="122" t="str">
        <x:v>Lista corrigida</x:v>
      </x:c>
      <x:c r="N7" s="122" t="str">
        <x:v>Estequiometria, solucoes e porcentagem.</x:v>
      </x:c>
    </x:row>
    <x:row r="8">
      <x:c r="A8" s="121" t="n">
        <x:v>4</x:v>
      </x:c>
      <x:c r="B8" s="122" t="str">
        <x:v>Lista</x:v>
      </x:c>
      <x:c r="C8" s="122" t="str">
        <x:v>Fisica + Humanas</x:v>
      </x:c>
      <x:c r="D8" s="123" t="n">
        <x:v>12</x:v>
      </x:c>
      <x:c r="E8" s="123" t="n">
        <x:v>12</x:v>
      </x:c>
      <x:c r="F8" s="123" t="n">
        <x:v>28</x:v>
      </x:c>
      <x:c r="G8" s="123" t="n">
        <x:v>22</x:v>
      </x:c>
      <x:c r="H8" s="123" t="n">
        <x:v>18</x:v>
      </x:c>
      <x:c r="I8" s="123" t="n">
        <x:v>28</x:v>
      </x:c>
      <x:c r="J8" s="123" t="n">
        <x:v>0</x:v>
      </x:c>
      <x:c r="K8" s="123" t="n">
        <x:f>SUM(D8:I8)</x:f>
        <x:v>120</x:v>
      </x:c>
      <x:c r="L8" s="122" t="str">
        <x:v>Erros D3-D4</x:v>
      </x:c>
      <x:c r="M8" s="122" t="str">
        <x:v>Resumo de formulas</x:v>
      </x:c>
      <x:c r="N8" s="122" t="str">
        <x:v>Mecanica, energia, geografia fisica e Brasil.</x:v>
      </x:c>
    </x:row>
    <x:row r="9">
      <x:c r="A9" s="121" t="n">
        <x:v>5</x:v>
      </x:c>
      <x:c r="B9" s="122" t="str">
        <x:v>Redacao</x:v>
      </x:c>
      <x:c r="C9" s="122" t="str">
        <x:v>Biologia + redacao</x:v>
      </x:c>
      <x:c r="D9" s="123" t="n">
        <x:v>30</x:v>
      </x:c>
      <x:c r="E9" s="123" t="n">
        <x:v>12</x:v>
      </x:c>
      <x:c r="F9" s="123" t="n">
        <x:v>8</x:v>
      </x:c>
      <x:c r="G9" s="123" t="n">
        <x:v>28</x:v>
      </x:c>
      <x:c r="H9" s="123" t="n">
        <x:v>18</x:v>
      </x:c>
      <x:c r="I9" s="123" t="n">
        <x:v>20</x:v>
      </x:c>
      <x:c r="J9" s="123" t="n">
        <x:v>1</x:v>
      </x:c>
      <x:c r="K9" s="123" t="n">
        <x:f>SUM(D9:I9)</x:f>
        <x:v>116</x:v>
      </x:c>
      <x:c r="L9" s="122" t="str">
        <x:v>Reescrita parcial</x:v>
      </x:c>
      <x:c r="M9" s="122" t="str">
        <x:v>1 redacao</x:v>
      </x:c>
      <x:c r="N9" s="122" t="str">
        <x:v>Corrigir tese, repertorio, proposta e conectivos.</x:v>
      </x:c>
    </x:row>
    <x:row r="10">
      <x:c r="A10" s="121" t="n">
        <x:v>6</x:v>
      </x:c>
      <x:c r="B10" s="122" t="str">
        <x:v>Lista</x:v>
      </x:c>
      <x:c r="C10" s="122" t="str">
        <x:v>Matematica aplicada</x:v>
      </x:c>
      <x:c r="D10" s="123" t="n">
        <x:v>16</x:v>
      </x:c>
      <x:c r="E10" s="123" t="n">
        <x:v>14</x:v>
      </x:c>
      <x:c r="F10" s="123" t="n">
        <x:v>10</x:v>
      </x:c>
      <x:c r="G10" s="123" t="n">
        <x:v>28</x:v>
      </x:c>
      <x:c r="H10" s="123" t="n">
        <x:v>34</x:v>
      </x:c>
      <x:c r="I10" s="123" t="n">
        <x:v>18</x:v>
      </x:c>
      <x:c r="J10" s="123" t="n">
        <x:v>0</x:v>
      </x:c>
      <x:c r="K10" s="123" t="n">
        <x:f>SUM(D10:I10)</x:f>
        <x:v>120</x:v>
      </x:c>
      <x:c r="L10" s="122" t="str">
        <x:v>Erros da semana</x:v>
      </x:c>
      <x:c r="M10" s="122" t="str">
        <x:v>Top 10 erros</x:v>
      </x:c>
      <x:c r="N10" s="122" t="str">
        <x:v>Padrao de questao vale mais que teoria solta.</x:v>
      </x:c>
    </x:row>
    <x:row r="11">
      <x:c r="A11" s="121" t="n">
        <x:v>7</x:v>
      </x:c>
      <x:c r="B11" s="122" t="str">
        <x:v>Simulado</x:v>
      </x:c>
      <x:c r="C11" s="122" t="str">
        <x:v>Simulado 90 questoes + analise</x:v>
      </x:c>
      <x:c r="D11" s="123" t="n">
        <x:v>12</x:v>
      </x:c>
      <x:c r="E11" s="123" t="n">
        <x:v>12</x:v>
      </x:c>
      <x:c r="F11" s="123" t="n">
        <x:v>10</x:v>
      </x:c>
      <x:c r="G11" s="123" t="n">
        <x:v>22</x:v>
      </x:c>
      <x:c r="H11" s="123" t="n">
        <x:v>18</x:v>
      </x:c>
      <x:c r="I11" s="123" t="n">
        <x:v>16</x:v>
      </x:c>
      <x:c r="J11" s="123" t="n">
        <x:v>0</x:v>
      </x:c>
      <x:c r="K11" s="123" t="n">
        <x:f>SUM(D11:I11)</x:f>
        <x:v>90</x:v>
      </x:c>
      <x:c r="L11" s="122" t="str">
        <x:v>Correcao profunda</x:v>
      </x:c>
      <x:c r="M11" s="122" t="str">
        <x:v>Relatorio</x:v>
      </x:c>
      <x:c r="N11" s="122" t="str">
        <x:v>Cronometrar e classificar erros por materia.</x:v>
      </x:c>
    </x:row>
    <x:row r="12">
      <x:c r="A12" s="121" t="n">
        <x:v>8</x:v>
      </x:c>
      <x:c r="B12" s="122" t="str">
        <x:v>Lista</x:v>
      </x:c>
      <x:c r="C12" s="122" t="str">
        <x:v>Biologia alta recorrencia</x:v>
      </x:c>
      <x:c r="D12" s="123" t="n">
        <x:v>36</x:v>
      </x:c>
      <x:c r="E12" s="123" t="n">
        <x:v>12</x:v>
      </x:c>
      <x:c r="F12" s="123" t="n">
        <x:v>10</x:v>
      </x:c>
      <x:c r="G12" s="123" t="n">
        <x:v>26</x:v>
      </x:c>
      <x:c r="H12" s="123" t="n">
        <x:v>18</x:v>
      </x:c>
      <x:c r="I12" s="123" t="n">
        <x:v>18</x:v>
      </x:c>
      <x:c r="J12" s="123" t="n">
        <x:v>0</x:v>
      </x:c>
      <x:c r="K12" s="123" t="n">
        <x:f>SUM(D12:I12)</x:f>
        <x:v>120</x:v>
      </x:c>
      <x:c r="L12" s="122" t="str">
        <x:v>Erros D7-D8</x:v>
      </x:c>
      <x:c r="M12" s="122" t="str">
        <x:v>Caderno atualizado</x:v>
      </x:c>
      <x:c r="N12" s="122" t="str">
        <x:v>Ecologia, genetica, fisiologia e citologia.</x:v>
      </x:c>
    </x:row>
    <x:row r="13">
      <x:c r="A13" s="121" t="n">
        <x:v>9</x:v>
      </x:c>
      <x:c r="B13" s="122" t="str">
        <x:v>Lista</x:v>
      </x:c>
      <x:c r="C13" s="122" t="str">
        <x:v>Quimica organica</x:v>
      </x:c>
      <x:c r="D13" s="123" t="n">
        <x:v>14</x:v>
      </x:c>
      <x:c r="E13" s="123" t="n">
        <x:v>34</x:v>
      </x:c>
      <x:c r="F13" s="123" t="n">
        <x:v>8</x:v>
      </x:c>
      <x:c r="G13" s="123" t="n">
        <x:v>34</x:v>
      </x:c>
      <x:c r="H13" s="123" t="n">
        <x:v>16</x:v>
      </x:c>
      <x:c r="I13" s="123" t="n">
        <x:v>14</x:v>
      </x:c>
      <x:c r="J13" s="123" t="n">
        <x:v>0</x:v>
      </x:c>
      <x:c r="K13" s="123" t="n">
        <x:f>SUM(D13:I13)</x:f>
        <x:v>120</x:v>
      </x:c>
      <x:c r="L13" s="122" t="str">
        <x:v>Flashcards</x:v>
      </x:c>
      <x:c r="M13" s="122" t="str">
        <x:v>30 flashcards</x:v>
      </x:c>
      <x:c r="N13" s="122" t="str">
        <x:v>Questao, erro, regra e exemplo.</x:v>
      </x:c>
    </x:row>
    <x:row r="14">
      <x:c r="A14" s="121" t="n">
        <x:v>10</x:v>
      </x:c>
      <x:c r="B14" s="122" t="str">
        <x:v>Redacao</x:v>
      </x:c>
      <x:c r="C14" s="122" t="str">
        <x:v>Fisica + redacao</x:v>
      </x:c>
      <x:c r="D14" s="123" t="n">
        <x:v>12</x:v>
      </x:c>
      <x:c r="E14" s="123" t="n">
        <x:v>12</x:v>
      </x:c>
      <x:c r="F14" s="123" t="n">
        <x:v>34</x:v>
      </x:c>
      <x:c r="G14" s="123" t="n">
        <x:v>24</x:v>
      </x:c>
      <x:c r="H14" s="123" t="n">
        <x:v>18</x:v>
      </x:c>
      <x:c r="I14" s="123" t="n">
        <x:v>16</x:v>
      </x:c>
      <x:c r="J14" s="123" t="n">
        <x:v>1</x:v>
      </x:c>
      <x:c r="K14" s="123" t="n">
        <x:f>SUM(D14:I14)</x:f>
        <x:v>116</x:v>
      </x:c>
      <x:c r="L14" s="122" t="str">
        <x:v>Reescrita</x:v>
      </x:c>
      <x:c r="M14" s="122" t="str">
        <x:v>1 redacao</x:v>
      </x:c>
      <x:c r="N14" s="122" t="str">
        <x:v>Foco nas competencias 2, 3 e 5.</x:v>
      </x:c>
    </x:row>
    <x:row r="15">
      <x:c r="A15" s="121" t="n">
        <x:v>11</x:v>
      </x:c>
      <x:c r="B15" s="122" t="str">
        <x:v>Lista</x:v>
      </x:c>
      <x:c r="C15" s="122" t="str">
        <x:v>Matematica: funcoes</x:v>
      </x:c>
      <x:c r="D15" s="123" t="n">
        <x:v>14</x:v>
      </x:c>
      <x:c r="E15" s="123" t="n">
        <x:v>14</x:v>
      </x:c>
      <x:c r="F15" s="123" t="n">
        <x:v>10</x:v>
      </x:c>
      <x:c r="G15" s="123" t="n">
        <x:v>26</x:v>
      </x:c>
      <x:c r="H15" s="123" t="n">
        <x:v>40</x:v>
      </x:c>
      <x:c r="I15" s="123" t="n">
        <x:v>16</x:v>
      </x:c>
      <x:c r="J15" s="123" t="n">
        <x:v>0</x:v>
      </x:c>
      <x:c r="K15" s="123" t="n">
        <x:f>SUM(D15:I15)</x:f>
        <x:v>120</x:v>
      </x:c>
      <x:c r="L15" s="122" t="str">
        <x:v>Erros matematica</x:v>
      </x:c>
      <x:c r="M15" s="122" t="str">
        <x:v>Formulario enxuto</x:v>
      </x:c>
      <x:c r="N15" s="122" t="str">
        <x:v>Grafico, unidade e alternativa.</x:v>
      </x:c>
    </x:row>
    <x:row r="16">
      <x:c r="A16" s="121" t="n">
        <x:v>12</x:v>
      </x:c>
      <x:c r="B16" s="122" t="str">
        <x:v>Lista</x:v>
      </x:c>
      <x:c r="C16" s="122" t="str">
        <x:v>Humanas forte</x:v>
      </x:c>
      <x:c r="D16" s="123" t="n">
        <x:v>12</x:v>
      </x:c>
      <x:c r="E16" s="123" t="n">
        <x:v>12</x:v>
      </x:c>
      <x:c r="F16" s="123" t="n">
        <x:v>10</x:v>
      </x:c>
      <x:c r="G16" s="123" t="n">
        <x:v>28</x:v>
      </x:c>
      <x:c r="H16" s="123" t="n">
        <x:v>18</x:v>
      </x:c>
      <x:c r="I16" s="123" t="n">
        <x:v>40</x:v>
      </x:c>
      <x:c r="J16" s="123" t="n">
        <x:v>0</x:v>
      </x:c>
      <x:c r="K16" s="123" t="n">
        <x:f>SUM(D16:I16)</x:f>
        <x:v>120</x:v>
      </x:c>
      <x:c r="L16" s="122" t="str">
        <x:v>Erros humanas</x:v>
      </x:c>
      <x:c r="M16" s="122" t="str">
        <x:v>Linha do tempo</x:v>
      </x:c>
      <x:c r="N16" s="122" t="str">
        <x:v>Causa, consequencia e conceito.</x:v>
      </x:c>
    </x:row>
    <x:row r="17">
      <x:c r="A17" s="121" t="n">
        <x:v>13</x:v>
      </x:c>
      <x:c r="B17" s="122" t="str">
        <x:v>Revisao</x:v>
      </x:c>
      <x:c r="C17" s="122" t="str">
        <x:v>Caderno de erros</x:v>
      </x:c>
      <x:c r="D17" s="123" t="n">
        <x:v>22</x:v>
      </x:c>
      <x:c r="E17" s="123" t="n">
        <x:v>20</x:v>
      </x:c>
      <x:c r="F17" s="123" t="n">
        <x:v>18</x:v>
      </x:c>
      <x:c r="G17" s="123" t="n">
        <x:v>26</x:v>
      </x:c>
      <x:c r="H17" s="123" t="n">
        <x:v>18</x:v>
      </x:c>
      <x:c r="I17" s="123" t="n">
        <x:v>16</x:v>
      </x:c>
      <x:c r="J17" s="123" t="n">
        <x:v>0</x:v>
      </x:c>
      <x:c r="K17" s="123" t="n">
        <x:f>SUM(D17:I17)</x:f>
        <x:v>120</x:v>
      </x:c>
      <x:c r="L17" s="122" t="str">
        <x:v>Refazer erros</x:v>
      </x:c>
      <x:c r="M17" s="122" t="str">
        <x:v>80% dos erros refeitos</x:v>
      </x:c>
      <x:c r="N17" s="122" t="str">
        <x:v>Erro repetido vira prioridade do ciclo.</x:v>
      </x:c>
    </x:row>
    <x:row r="18">
      <x:c r="A18" s="121" t="n">
        <x:v>14</x:v>
      </x:c>
      <x:c r="B18" s="122" t="str">
        <x:v>Simulado</x:v>
      </x:c>
      <x:c r="C18" s="122" t="str">
        <x:v>Simulado completo ou 2 blocos</x:v>
      </x:c>
      <x:c r="D18" s="123" t="n">
        <x:v>15</x:v>
      </x:c>
      <x:c r="E18" s="123" t="n">
        <x:v>15</x:v>
      </x:c>
      <x:c r="F18" s="123" t="n">
        <x:v>15</x:v>
      </x:c>
      <x:c r="G18" s="123" t="n">
        <x:v>45</x:v>
      </x:c>
      <x:c r="H18" s="123" t="n">
        <x:v>45</x:v>
      </x:c>
      <x:c r="I18" s="123" t="n">
        <x:v>45</x:v>
      </x:c>
      <x:c r="J18" s="123" t="n">
        <x:v>0</x:v>
      </x:c>
      <x:c r="K18" s="123" t="n">
        <x:f>SUM(D18:I18)</x:f>
        <x:v>180</x:v>
      </x:c>
      <x:c r="L18" s="122" t="str">
        <x:v>Correcao por materia</x:v>
      </x:c>
      <x:c r="M18" s="122" t="str">
        <x:v>Acertos por materia</x:v>
      </x:c>
      <x:c r="N18" s="122" t="str">
        <x:v>Se nao der 180, faca 90 com correcao total.</x:v>
      </x:c>
    </x:row>
    <x:row r="19">
      <x:c r="A19" s="121" t="n">
        <x:v>15</x:v>
      </x:c>
      <x:c r="B19" s="122" t="str">
        <x:v>Ajuste</x:v>
      </x:c>
      <x:c r="C19" s="122" t="str">
        <x:v>Nova rota + Natureza</x:v>
      </x:c>
      <x:c r="D19" s="123" t="n">
        <x:v>24</x:v>
      </x:c>
      <x:c r="E19" s="123" t="n">
        <x:v>22</x:v>
      </x:c>
      <x:c r="F19" s="123" t="n">
        <x:v>18</x:v>
      </x:c>
      <x:c r="G19" s="123" t="n">
        <x:v>24</x:v>
      </x:c>
      <x:c r="H19" s="123" t="n">
        <x:v>16</x:v>
      </x:c>
      <x:c r="I19" s="123" t="n">
        <x:v>16</x:v>
      </x:c>
      <x:c r="J19" s="123" t="n">
        <x:v>0</x:v>
      </x:c>
      <x:c r="K19" s="123" t="n">
        <x:f>SUM(D19:I19)</x:f>
        <x:v>120</x:v>
      </x:c>
      <x:c r="L19" s="122" t="str">
        <x:v>Erros D14-D15</x:v>
      </x:c>
      <x:c r="M19" s="122" t="str">
        <x:v>Meta semanal</x:v>
      </x:c>
      <x:c r="N19" s="122" t="str">
        <x:v>Cortar tema confortavel demais.</x:v>
      </x:c>
    </x:row>
    <x:row r="20">
      <x:c r="A20" s="121" t="n">
        <x:v>16</x:v>
      </x:c>
      <x:c r="B20" s="122" t="str">
        <x:v>Lista</x:v>
      </x:c>
      <x:c r="C20" s="122" t="str">
        <x:v>Biologia molecular</x:v>
      </x:c>
      <x:c r="D20" s="123" t="n">
        <x:v>36</x:v>
      </x:c>
      <x:c r="E20" s="123" t="n">
        <x:v>12</x:v>
      </x:c>
      <x:c r="F20" s="123" t="n">
        <x:v>8</x:v>
      </x:c>
      <x:c r="G20" s="123" t="n">
        <x:v>34</x:v>
      </x:c>
      <x:c r="H20" s="123" t="n">
        <x:v>16</x:v>
      </x:c>
      <x:c r="I20" s="123" t="n">
        <x:v>14</x:v>
      </x:c>
      <x:c r="J20" s="123" t="n">
        <x:v>0</x:v>
      </x:c>
      <x:c r="K20" s="123" t="n">
        <x:f>SUM(D20:I20)</x:f>
        <x:v>120</x:v>
      </x:c>
      <x:c r="L20" s="122" t="str">
        <x:v>Flashcards</x:v>
      </x:c>
      <x:c r="M20" s="122" t="str">
        <x:v>Lista corrigida</x:v>
      </x:c>
      <x:c r="N20" s="122" t="str">
        <x:v>Leitura de enunciado longo.</x:v>
      </x:c>
    </x:row>
    <x:row r="21">
      <x:c r="A21" s="121" t="n">
        <x:v>17</x:v>
      </x:c>
      <x:c r="B21" s="122" t="str">
        <x:v>Redacao</x:v>
      </x:c>
      <x:c r="C21" s="122" t="str">
        <x:v>Quimica fisico-quimica</x:v>
      </x:c>
      <x:c r="D21" s="123" t="n">
        <x:v>12</x:v>
      </x:c>
      <x:c r="E21" s="123" t="n">
        <x:v>34</x:v>
      </x:c>
      <x:c r="F21" s="123" t="n">
        <x:v>10</x:v>
      </x:c>
      <x:c r="G21" s="123" t="n">
        <x:v>24</x:v>
      </x:c>
      <x:c r="H21" s="123" t="n">
        <x:v>18</x:v>
      </x:c>
      <x:c r="I21" s="123" t="n">
        <x:v>18</x:v>
      </x:c>
      <x:c r="J21" s="123" t="n">
        <x:v>1</x:v>
      </x:c>
      <x:c r="K21" s="123" t="n">
        <x:f>SUM(D21:I21)</x:f>
        <x:v>116</x:v>
      </x:c>
      <x:c r="L21" s="122" t="str">
        <x:v>Reescrita</x:v>
      </x:c>
      <x:c r="M21" s="122" t="str">
        <x:v>1 redacao</x:v>
      </x:c>
      <x:c r="N21" s="122" t="str">
        <x:v>Olhar projeto antes do texto final.</x:v>
      </x:c>
    </x:row>
    <x:row r="22">
      <x:c r="A22" s="121" t="n">
        <x:v>18</x:v>
      </x:c>
      <x:c r="B22" s="122" t="str">
        <x:v>Lista</x:v>
      </x:c>
      <x:c r="C22" s="122" t="str">
        <x:v>Fisica: eletricidade</x:v>
      </x:c>
      <x:c r="D22" s="123" t="n">
        <x:v>12</x:v>
      </x:c>
      <x:c r="E22" s="123" t="n">
        <x:v>12</x:v>
      </x:c>
      <x:c r="F22" s="123" t="n">
        <x:v>36</x:v>
      </x:c>
      <x:c r="G22" s="123" t="n">
        <x:v>24</x:v>
      </x:c>
      <x:c r="H22" s="123" t="n">
        <x:v>20</x:v>
      </x:c>
      <x:c r="I22" s="123" t="n">
        <x:v>16</x:v>
      </x:c>
      <x:c r="J22" s="123" t="n">
        <x:v>0</x:v>
      </x:c>
      <x:c r="K22" s="123" t="n">
        <x:f>SUM(D22:I22)</x:f>
        <x:v>120</x:v>
      </x:c>
      <x:c r="L22" s="122" t="str">
        <x:v>Erros fisica</x:v>
      </x:c>
      <x:c r="M22" s="122" t="str">
        <x:v>Formula + aplicacao</x:v>
      </x:c>
      <x:c r="N22" s="122" t="str">
        <x:v>Formula sem contexto nao resolve ENEM.</x:v>
      </x:c>
    </x:row>
    <x:row r="23">
      <x:c r="A23" s="121" t="n">
        <x:v>19</x:v>
      </x:c>
      <x:c r="B23" s="122" t="str">
        <x:v>Lista</x:v>
      </x:c>
      <x:c r="C23" s="122" t="str">
        <x:v>Matematica: geometria</x:v>
      </x:c>
      <x:c r="D23" s="123" t="n">
        <x:v>14</x:v>
      </x:c>
      <x:c r="E23" s="123" t="n">
        <x:v>14</x:v>
      </x:c>
      <x:c r="F23" s="123" t="n">
        <x:v>10</x:v>
      </x:c>
      <x:c r="G23" s="123" t="n">
        <x:v>24</x:v>
      </x:c>
      <x:c r="H23" s="123" t="n">
        <x:v>42</x:v>
      </x:c>
      <x:c r="I23" s="123" t="n">
        <x:v>16</x:v>
      </x:c>
      <x:c r="J23" s="123" t="n">
        <x:v>0</x:v>
      </x:c>
      <x:c r="K23" s="123" t="n">
        <x:f>SUM(D23:I23)</x:f>
        <x:v>120</x:v>
      </x:c>
      <x:c r="L23" s="122" t="str">
        <x:v>Erros matematica</x:v>
      </x:c>
      <x:c r="M23" s="122" t="str">
        <x:v>Lista corrigida</x:v>
      </x:c>
      <x:c r="N23" s="122" t="str">
        <x:v>Leia alternativas antes de calcular demais.</x:v>
      </x:c>
    </x:row>
    <x:row r="24">
      <x:c r="A24" s="121" t="n">
        <x:v>20</x:v>
      </x:c>
      <x:c r="B24" s="122" t="str">
        <x:v>Lista</x:v>
      </x:c>
      <x:c r="C24" s="122" t="str">
        <x:v>Linguagens + Humanas</x:v>
      </x:c>
      <x:c r="D24" s="123" t="n">
        <x:v>10</x:v>
      </x:c>
      <x:c r="E24" s="123" t="n">
        <x:v>10</x:v>
      </x:c>
      <x:c r="F24" s="123" t="n">
        <x:v>8</x:v>
      </x:c>
      <x:c r="G24" s="123" t="n">
        <x:v>44</x:v>
      </x:c>
      <x:c r="H24" s="123" t="n">
        <x:v>16</x:v>
      </x:c>
      <x:c r="I24" s="123" t="n">
        <x:v>32</x:v>
      </x:c>
      <x:c r="J24" s="123" t="n">
        <x:v>0</x:v>
      </x:c>
      <x:c r="K24" s="123" t="n">
        <x:f>SUM(D24:I24)</x:f>
        <x:v>120</x:v>
      </x:c>
      <x:c r="L24" s="122" t="str">
        <x:v>Erros D18-D20</x:v>
      </x:c>
      <x:c r="M24" s="122" t="str">
        <x:v>Mapa de temas</x:v>
      </x:c>
      <x:c r="N24" s="122" t="str">
        <x:v>Dia de resistencia de leitura.</x:v>
      </x:c>
    </x:row>
    <x:row r="25">
      <x:c r="A25" s="121" t="n">
        <x:v>21</x:v>
      </x:c>
      <x:c r="B25" s="122" t="str">
        <x:v>Simulado</x:v>
      </x:c>
      <x:c r="C25" s="122" t="str">
        <x:v>Simulado por materia + redacao</x:v>
      </x:c>
      <x:c r="D25" s="123" t="n">
        <x:v>15</x:v>
      </x:c>
      <x:c r="E25" s="123" t="n">
        <x:v>15</x:v>
      </x:c>
      <x:c r="F25" s="123" t="n">
        <x:v>15</x:v>
      </x:c>
      <x:c r="G25" s="123" t="n">
        <x:v>45</x:v>
      </x:c>
      <x:c r="H25" s="123" t="n">
        <x:v>45</x:v>
      </x:c>
      <x:c r="I25" s="123" t="n">
        <x:v>45</x:v>
      </x:c>
      <x:c r="J25" s="123" t="n">
        <x:v>1</x:v>
      </x:c>
      <x:c r="K25" s="123" t="n">
        <x:f>SUM(D25:I25)</x:f>
        <x:v>180</x:v>
      </x:c>
      <x:c r="L25" s="122" t="str">
        <x:v>Correcao profunda</x:v>
      </x:c>
      <x:c r="M25" s="122" t="str">
        <x:v>Redacao + acertos</x:v>
      </x:c>
      <x:c r="N25" s="122" t="str">
        <x:v>Treinar ordem real da prova.</x:v>
      </x:c>
    </x:row>
    <x:row r="26">
      <x:c r="A26" s="121" t="n">
        <x:v>22</x:v>
      </x:c>
      <x:c r="B26" s="122" t="str">
        <x:v>Revisao</x:v>
      </x:c>
      <x:c r="C26" s="122" t="str">
        <x:v>Erros de Natureza</x:v>
      </x:c>
      <x:c r="D26" s="123" t="n">
        <x:v>30</x:v>
      </x:c>
      <x:c r="E26" s="123" t="n">
        <x:v>28</x:v>
      </x:c>
      <x:c r="F26" s="123" t="n">
        <x:v>24</x:v>
      </x:c>
      <x:c r="G26" s="123" t="n">
        <x:v>18</x:v>
      </x:c>
      <x:c r="H26" s="123" t="n">
        <x:v>10</x:v>
      </x:c>
      <x:c r="I26" s="123" t="n">
        <x:v>10</x:v>
      </x:c>
      <x:c r="J26" s="123" t="n">
        <x:v>0</x:v>
      </x:c>
      <x:c r="K26" s="123" t="n">
        <x:f>SUM(D26:I26)</x:f>
        <x:v>120</x:v>
      </x:c>
      <x:c r="L26" s="122" t="str">
        <x:v>Refazer erros</x:v>
      </x:c>
      <x:c r="M26" s="122" t="str">
        <x:v>60 erros refeitos</x:v>
      </x:c>
      <x:c r="N26" s="122" t="str">
        <x:v>Aqui mora muito ponto de Medicina.</x:v>
      </x:c>
    </x:row>
    <x:row r="27">
      <x:c r="A27" s="121" t="n">
        <x:v>23</x:v>
      </x:c>
      <x:c r="B27" s="122" t="str">
        <x:v>Lista</x:v>
      </x:c>
      <x:c r="C27" s="122" t="str">
        <x:v>Biologia + Quimica</x:v>
      </x:c>
      <x:c r="D27" s="123" t="n">
        <x:v>32</x:v>
      </x:c>
      <x:c r="E27" s="123" t="n">
        <x:v>30</x:v>
      </x:c>
      <x:c r="F27" s="123" t="n">
        <x:v>10</x:v>
      </x:c>
      <x:c r="G27" s="123" t="n">
        <x:v>24</x:v>
      </x:c>
      <x:c r="H27" s="123" t="n">
        <x:v>14</x:v>
      </x:c>
      <x:c r="I27" s="123" t="n">
        <x:v>10</x:v>
      </x:c>
      <x:c r="J27" s="123" t="n">
        <x:v>0</x:v>
      </x:c>
      <x:c r="K27" s="123" t="n">
        <x:f>SUM(D27:I27)</x:f>
        <x:v>120</x:v>
      </x:c>
      <x:c r="L27" s="122" t="str">
        <x:v>Flashcards</x:v>
      </x:c>
      <x:c r="M27" s="122" t="str">
        <x:v>Lista corrigida</x:v>
      </x:c>
      <x:c r="N27" s="122" t="str">
        <x:v>Misturar conteudos reduz falsa seguranca.</x:v>
      </x:c>
    </x:row>
    <x:row r="28">
      <x:c r="A28" s="121" t="n">
        <x:v>24</x:v>
      </x:c>
      <x:c r="B28" s="122" t="str">
        <x:v>Redacao</x:v>
      </x:c>
      <x:c r="C28" s="122" t="str">
        <x:v>Linguagens + redacao</x:v>
      </x:c>
      <x:c r="D28" s="123" t="n">
        <x:v>12</x:v>
      </x:c>
      <x:c r="E28" s="123" t="n">
        <x:v>10</x:v>
      </x:c>
      <x:c r="F28" s="123" t="n">
        <x:v>8</x:v>
      </x:c>
      <x:c r="G28" s="123" t="n">
        <x:v>46</x:v>
      </x:c>
      <x:c r="H28" s="123" t="n">
        <x:v>20</x:v>
      </x:c>
      <x:c r="I28" s="123" t="n">
        <x:v>20</x:v>
      </x:c>
      <x:c r="J28" s="123" t="n">
        <x:v>1</x:v>
      </x:c>
      <x:c r="K28" s="123" t="n">
        <x:f>SUM(D28:I28)</x:f>
        <x:v>116</x:v>
      </x:c>
      <x:c r="L28" s="122" t="str">
        <x:v>Reescrita</x:v>
      </x:c>
      <x:c r="M28" s="122" t="str">
        <x:v>1 redacao</x:v>
      </x:c>
      <x:c r="N28" s="122" t="str">
        <x:v>Repertorio flexivel e proposta concreta.</x:v>
      </x:c>
    </x:row>
    <x:row r="29">
      <x:c r="A29" s="121" t="n">
        <x:v>25</x:v>
      </x:c>
      <x:c r="B29" s="122" t="str">
        <x:v>Lista</x:v>
      </x:c>
      <x:c r="C29" s="122" t="str">
        <x:v>Fisica + Matematica</x:v>
      </x:c>
      <x:c r="D29" s="123" t="n">
        <x:v>10</x:v>
      </x:c>
      <x:c r="E29" s="123" t="n">
        <x:v>12</x:v>
      </x:c>
      <x:c r="F29" s="123" t="n">
        <x:v>32</x:v>
      </x:c>
      <x:c r="G29" s="123" t="n">
        <x:v>20</x:v>
      </x:c>
      <x:c r="H29" s="123" t="n">
        <x:v>36</x:v>
      </x:c>
      <x:c r="I29" s="123" t="n">
        <x:v>10</x:v>
      </x:c>
      <x:c r="J29" s="123" t="n">
        <x:v>0</x:v>
      </x:c>
      <x:c r="K29" s="123" t="n">
        <x:f>SUM(D29:I29)</x:f>
        <x:v>120</x:v>
      </x:c>
      <x:c r="L29" s="122" t="str">
        <x:v>Erros exatas</x:v>
      </x:c>
      <x:c r="M29" s="122" t="str">
        <x:v>Top 15 erros</x:v>
      </x:c>
      <x:c r="N29" s="122" t="str">
        <x:v>Calculo limpo, unidade e estimativa.</x:v>
      </x:c>
    </x:row>
    <x:row r="30">
      <x:c r="A30" s="121" t="n">
        <x:v>26</x:v>
      </x:c>
      <x:c r="B30" s="122" t="str">
        <x:v>Lista</x:v>
      </x:c>
      <x:c r="C30" s="122" t="str">
        <x:v>Humanas: socio/filo/geo</x:v>
      </x:c>
      <x:c r="D30" s="123" t="n">
        <x:v>10</x:v>
      </x:c>
      <x:c r="E30" s="123" t="n">
        <x:v>10</x:v>
      </x:c>
      <x:c r="F30" s="123" t="n">
        <x:v>8</x:v>
      </x:c>
      <x:c r="G30" s="123" t="n">
        <x:v>26</x:v>
      </x:c>
      <x:c r="H30" s="123" t="n">
        <x:v>18</x:v>
      </x:c>
      <x:c r="I30" s="123" t="n">
        <x:v>48</x:v>
      </x:c>
      <x:c r="J30" s="123" t="n">
        <x:v>0</x:v>
      </x:c>
      <x:c r="K30" s="123" t="n">
        <x:f>SUM(D30:I30)</x:f>
        <x:v>120</x:v>
      </x:c>
      <x:c r="L30" s="122" t="str">
        <x:v>Erros humanas</x:v>
      </x:c>
      <x:c r="M30" s="122" t="str">
        <x:v>Mapa final</x:v>
      </x:c>
      <x:c r="N30" s="122" t="str">
        <x:v>Trabalho, poder, democracia e cultura.</x:v>
      </x:c>
    </x:row>
    <x:row r="31">
      <x:c r="A31" s="121" t="n">
        <x:v>27</x:v>
      </x:c>
      <x:c r="B31" s="122" t="str">
        <x:v>Revisao</x:v>
      </x:c>
      <x:c r="C31" s="122" t="str">
        <x:v>Revisao geral por erros</x:v>
      </x:c>
      <x:c r="D31" s="123" t="n">
        <x:v>24</x:v>
      </x:c>
      <x:c r="E31" s="123" t="n">
        <x:v>22</x:v>
      </x:c>
      <x:c r="F31" s="123" t="n">
        <x:v>18</x:v>
      </x:c>
      <x:c r="G31" s="123" t="n">
        <x:v>24</x:v>
      </x:c>
      <x:c r="H31" s="123" t="n">
        <x:v>18</x:v>
      </x:c>
      <x:c r="I31" s="123" t="n">
        <x:v>14</x:v>
      </x:c>
      <x:c r="J31" s="123" t="n">
        <x:v>0</x:v>
      </x:c>
      <x:c r="K31" s="123" t="n">
        <x:f>SUM(D31:I31)</x:f>
        <x:v>120</x:v>
      </x:c>
      <x:c r="L31" s="122" t="str">
        <x:v>Refazer erros</x:v>
      </x:c>
      <x:c r="M31" s="122" t="str">
        <x:v>80% de acerto</x:v>
      </x:c>
      <x:c r="N31" s="122" t="str">
        <x:v>So avance depois de corrigir motivos.</x:v>
      </x:c>
    </x:row>
    <x:row r="32">
      <x:c r="A32" s="121" t="n">
        <x:v>28</x:v>
      </x:c>
      <x:c r="B32" s="122" t="str">
        <x:v>Simulado</x:v>
      </x:c>
      <x:c r="C32" s="122" t="str">
        <x:v>Simulado completo + estrategia</x:v>
      </x:c>
      <x:c r="D32" s="123" t="n">
        <x:v>15</x:v>
      </x:c>
      <x:c r="E32" s="123" t="n">
        <x:v>15</x:v>
      </x:c>
      <x:c r="F32" s="123" t="n">
        <x:v>15</x:v>
      </x:c>
      <x:c r="G32" s="123" t="n">
        <x:v>45</x:v>
      </x:c>
      <x:c r="H32" s="123" t="n">
        <x:v>45</x:v>
      </x:c>
      <x:c r="I32" s="123" t="n">
        <x:v>45</x:v>
      </x:c>
      <x:c r="J32" s="123" t="n">
        <x:v>1</x:v>
      </x:c>
      <x:c r="K32" s="123" t="n">
        <x:f>SUM(D32:I32)</x:f>
        <x:v>180</x:v>
      </x:c>
      <x:c r="L32" s="122" t="str">
        <x:v>Correcao por peso</x:v>
      </x:c>
      <x:c r="M32" s="122" t="str">
        <x:v>Relatorio final</x:v>
      </x:c>
      <x:c r="N32" s="122" t="str">
        <x:v>Simule horario, comida e ordem real.</x:v>
      </x:c>
    </x:row>
    <x:row r="33">
      <x:c r="A33" s="121" t="n">
        <x:v>29</x:v>
      </x:c>
      <x:c r="B33" s="122" t="str">
        <x:v>Ajuste</x:v>
      </x:c>
      <x:c r="C33" s="122" t="str">
        <x:v>3 piores materias</x:v>
      </x:c>
      <x:c r="D33" s="123" t="n">
        <x:v>24</x:v>
      </x:c>
      <x:c r="E33" s="123" t="n">
        <x:v>22</x:v>
      </x:c>
      <x:c r="F33" s="123" t="n">
        <x:v>18</x:v>
      </x:c>
      <x:c r="G33" s="123" t="n">
        <x:v>24</x:v>
      </x:c>
      <x:c r="H33" s="123" t="n">
        <x:v>18</x:v>
      </x:c>
      <x:c r="I33" s="123" t="n">
        <x:v>14</x:v>
      </x:c>
      <x:c r="J33" s="123" t="n">
        <x:v>0</x:v>
      </x:c>
      <x:c r="K33" s="123" t="n">
        <x:f>SUM(D33:I33)</x:f>
        <x:v>120</x:v>
      </x:c>
      <x:c r="L33" s="122" t="str">
        <x:v>Erros D28-D29</x:v>
      </x:c>
      <x:c r="M33" s="122" t="str">
        <x:v>Plano proximo ciclo</x:v>
      </x:c>
      <x:c r="N33" s="122" t="str">
        <x:v>O proximo ciclo nasce dos dados.</x:v>
      </x:c>
    </x:row>
    <x:row r="34">
      <x:c r="A34" s="124" t="n">
        <x:v>30</x:v>
      </x:c>
      <x:c r="B34" s="125" t="str">
        <x:v>Fechamento</x:v>
      </x:c>
      <x:c r="C34" s="125" t="str">
        <x:v>Revisao leve + redacao</x:v>
      </x:c>
      <x:c r="D34" s="126" t="n">
        <x:v>18</x:v>
      </x:c>
      <x:c r="E34" s="126" t="n">
        <x:v>16</x:v>
      </x:c>
      <x:c r="F34" s="126" t="n">
        <x:v>12</x:v>
      </x:c>
      <x:c r="G34" s="126" t="n">
        <x:v>30</x:v>
      </x:c>
      <x:c r="H34" s="126" t="n">
        <x:v>22</x:v>
      </x:c>
      <x:c r="I34" s="126" t="n">
        <x:v>18</x:v>
      </x:c>
      <x:c r="J34" s="126" t="n">
        <x:v>1</x:v>
      </x:c>
      <x:c r="K34" s="126" t="n">
        <x:f>SUM(D34:I34)</x:f>
        <x:v>116</x:v>
      </x:c>
      <x:c r="L34" s="125" t="str">
        <x:v>Checklist final</x:v>
      </x:c>
      <x:c r="M34" s="125" t="str">
        <x:v>Metas recalibradas</x:v>
      </x:c>
      <x:c r="N34" s="125" t="str">
        <x:v>Comparar D1 com D30 e repetir melhor.</x:v>
      </x:c>
    </x:row>
  </x:sheetData>
  <x:mergeCells>
    <x:mergeCell ref="A1:N1"/>
    <x:mergeCell ref="A2:N2"/>
  </x:mergeCells>
  <x:conditionalFormatting sqref="B5:B34">
    <x:cfRule type="containsText" dxfId="0" priority="1" operator="containsText" text="Simulado"/>
    <x:cfRule type="containsText" dxfId="1" priority="2" operator="containsText" text="Redacao"/>
    <x:cfRule type="containsText" dxfId="2" priority="3" operator="containsText" text="Revisao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18" hidden="0" customWidth="1"/>
    <x:col min="4" max="4" width="22" hidden="0" customWidth="1"/>
    <x:col min="5" max="5" width="24" hidden="0" customWidth="1"/>
    <x:col min="6" max="6" width="14" hidden="0" customWidth="1"/>
    <x:col min="7" max="7" width="12" hidden="0" customWidth="1"/>
    <x:col min="8" max="8" width="12" hidden="0" customWidth="1"/>
    <x:col min="9" max="9" width="13" hidden="0" customWidth="1"/>
    <x:col min="10" max="10" width="10" hidden="0" customWidth="1"/>
    <x:col min="11" max="11" width="14" hidden="0" customWidth="1"/>
    <x:col min="12" max="12" width="16" hidden="0" customWidth="1"/>
    <x:col min="13" max="13" width="22" hidden="0" customWidth="1"/>
    <x:col min="14" max="14" width="36" hidden="0" customWidth="1"/>
  </x:cols>
  <x:sheetData>
    <x:row r="1" ht="25.5" customHeight="1">
      <x:c r="A1" s="141" t="str">
        <x:v>Banco de questoes por materia</x:v>
      </x:c>
      <x:c r="B1" s="141" t="str">
        <x:v>Banco de questoes por materia</x:v>
      </x:c>
      <x:c r="C1" s="141" t="str">
        <x:v>Banco de questoes por materia</x:v>
      </x:c>
      <x:c r="D1" s="141" t="str">
        <x:v>Banco de questoes por materia</x:v>
      </x:c>
      <x:c r="E1" s="141" t="str">
        <x:v>Banco de questoes por materia</x:v>
      </x:c>
      <x:c r="F1" s="141" t="str">
        <x:v>Banco de questoes por materia</x:v>
      </x:c>
      <x:c r="G1" s="141" t="str">
        <x:v>Banco de questoes por materia</x:v>
      </x:c>
      <x:c r="H1" s="141" t="str">
        <x:v>Banco de questoes por materia</x:v>
      </x:c>
      <x:c r="I1" s="141" t="str">
        <x:v>Banco de questoes por materia</x:v>
      </x:c>
      <x:c r="J1" s="141" t="str">
        <x:v>Banco de questoes por materia</x:v>
      </x:c>
      <x:c r="K1" s="141" t="str">
        <x:v>Banco de questoes por materia</x:v>
      </x:c>
      <x:c r="L1" s="141" t="str">
        <x:v>Banco de questoes por materia</x:v>
      </x:c>
      <x:c r="M1" s="141" t="str">
        <x:v>Banco de questoes por materia</x:v>
      </x:c>
      <x:c r="N1" s="141" t="str">
        <x:v>Banco de questoes por materia</x:v>
      </x:c>
    </x:row>
    <x:row r="2">
      <x:c r="A2" s="102" t="str">
        <x:v>Escolha a materia direto. Area e peso sao calculados automaticamente.</x:v>
      </x:c>
      <x:c r="B2" s="102" t="str">
        <x:v>Escolha a materia direto. Area e peso sao calculados automaticamente.</x:v>
      </x:c>
      <x:c r="C2" s="102" t="str">
        <x:v>Escolha a materia direto. Area e peso sao calculados automaticamente.</x:v>
      </x:c>
      <x:c r="D2" s="102" t="str">
        <x:v>Escolha a materia direto. Area e peso sao calculados automaticamente.</x:v>
      </x:c>
      <x:c r="E2" s="102" t="str">
        <x:v>Escolha a materia direto. Area e peso sao calculados automaticamente.</x:v>
      </x:c>
      <x:c r="F2" s="102" t="str">
        <x:v>Escolha a materia direto. Area e peso sao calculados automaticamente.</x:v>
      </x:c>
      <x:c r="G2" s="102" t="str">
        <x:v>Escolha a materia direto. Area e peso sao calculados automaticamente.</x:v>
      </x:c>
      <x:c r="H2" s="102" t="str">
        <x:v>Escolha a materia direto. Area e peso sao calculados automaticamente.</x:v>
      </x:c>
      <x:c r="I2" s="102" t="str">
        <x:v>Escolha a materia direto. Area e peso sao calculados automaticamente.</x:v>
      </x:c>
      <x:c r="J2" s="102" t="str">
        <x:v>Escolha a materia direto. Area e peso sao calculados automaticamente.</x:v>
      </x:c>
      <x:c r="K2" s="102" t="str">
        <x:v>Escolha a materia direto. Area e peso sao calculados automaticamente.</x:v>
      </x:c>
      <x:c r="L2" s="102" t="str">
        <x:v>Escolha a materia direto. Area e peso sao calculados automaticamente.</x:v>
      </x:c>
      <x:c r="M2" s="102" t="str">
        <x:v>Escolha a materia direto. Area e peso sao calculados automaticamente.</x:v>
      </x:c>
      <x:c r="N2" s="102" t="str">
        <x:v>Escolha a materia direto. Area e peso sao calculados automaticamente.</x:v>
      </x:c>
    </x:row>
    <x:row r="3">
      <x:c r="A3" s="103"/>
      <x:c r="B3" s="103"/>
      <x:c r="C3" s="103"/>
      <x:c r="D3" s="103"/>
      <x:c r="E3" s="103"/>
      <x:c r="F3" s="103"/>
      <x:c r="G3" s="103"/>
      <x:c r="H3" s="103"/>
      <x:c r="I3" s="103"/>
      <x:c r="J3" s="103"/>
      <x:c r="K3" s="103"/>
      <x:c r="L3" s="103"/>
      <x:c r="M3" s="103"/>
      <x:c r="N3" s="103"/>
    </x:row>
    <x:row r="4">
      <x:c r="A4" s="82" t="str">
        <x:v>Data</x:v>
      </x:c>
      <x:c r="B4" s="83" t="str">
        <x:v>Dia ciclo</x:v>
      </x:c>
      <x:c r="C4" s="83" t="str">
        <x:v>Materia</x:v>
      </x:c>
      <x:c r="D4" s="83" t="str">
        <x:v>Area auto</x:v>
      </x:c>
      <x:c r="E4" s="83" t="str">
        <x:v>Topico</x:v>
      </x:c>
      <x:c r="F4" s="83" t="str">
        <x:v>Fonte</x:v>
      </x:c>
      <x:c r="G4" s="83" t="str">
        <x:v>Questoes</x:v>
      </x:c>
      <x:c r="H4" s="83" t="str">
        <x:v>Acertos</x:v>
      </x:c>
      <x:c r="I4" s="83" t="str">
        <x:v>% acerto</x:v>
      </x:c>
      <x:c r="J4" s="83" t="str">
        <x:v>Peso</x:v>
      </x:c>
      <x:c r="K4" s="83" t="str">
        <x:v>Pontos</x:v>
      </x:c>
      <x:c r="L4" s="83" t="str">
        <x:v>Status</x:v>
      </x:c>
      <x:c r="M4" s="83" t="str">
        <x:v>Tipo de erro</x:v>
      </x:c>
      <x:c r="N4" s="83" t="str">
        <x:v>Acao corretiva</x:v>
      </x:c>
    </x:row>
    <x:row r="5">
      <x:c r="A5" s="132"/>
      <x:c r="B5" s="103"/>
      <x:c r="C5" s="103"/>
      <x:c r="D5" s="103" t="str">
        <x:f>IF(C5="","",IF(OR(C5="Biologia",C5="Quimica",C5="Fisica"),"Ciencias da Natureza",IF(C5="Humanas","Ciencias Humanas",C5)))</x:f>
      </x:c>
      <x:c r="E5" s="103"/>
      <x:c r="F5" s="103"/>
      <x:c r="G5" s="133"/>
      <x:c r="H5" s="133"/>
      <x:c r="I5" s="105" t="str">
        <x:f>IF(G5=0,"",H5/G5)</x:f>
      </x:c>
      <x:c r="J5" s="107" t="str">
        <x:f>IF(C5="","",IF(OR(C5="Biologia",C5="Quimica",C5="Fisica"),3,IF(OR(C5="Redacao",C5="Linguagens"),2,1.5)))</x:f>
      </x:c>
      <x:c r="K5" s="107" t="str">
        <x:f>IF(OR(G5=0,J5=""),"",H5*J5)</x:f>
      </x:c>
      <x:c r="L5" s="103"/>
      <x:c r="M5" s="103"/>
      <x:c r="N5" s="103"/>
    </x:row>
    <x:row r="6">
      <x:c r="A6" s="132"/>
      <x:c r="B6" s="103"/>
      <x:c r="C6" s="103"/>
      <x:c r="D6" s="103" t="str">
        <x:f>IF(C6="","",IF(OR(C6="Biologia",C6="Quimica",C6="Fisica"),"Ciencias da Natureza",IF(C6="Humanas","Ciencias Humanas",C6)))</x:f>
      </x:c>
      <x:c r="E6" s="103"/>
      <x:c r="F6" s="103"/>
      <x:c r="G6" s="133"/>
      <x:c r="H6" s="133"/>
      <x:c r="I6" s="105" t="str">
        <x:f>IF(G6=0,"",H6/G6)</x:f>
      </x:c>
      <x:c r="J6" s="107" t="str">
        <x:f>IF(C6="","",IF(OR(C6="Biologia",C6="Quimica",C6="Fisica"),3,IF(OR(C6="Redacao",C6="Linguagens"),2,1.5)))</x:f>
      </x:c>
      <x:c r="K6" s="107" t="str">
        <x:f>IF(OR(G6=0,J6=""),"",H6*J6)</x:f>
      </x:c>
      <x:c r="L6" s="103"/>
      <x:c r="M6" s="103"/>
      <x:c r="N6" s="103"/>
    </x:row>
    <x:row r="7">
      <x:c r="A7" s="132"/>
      <x:c r="B7" s="103"/>
      <x:c r="C7" s="103"/>
      <x:c r="D7" s="103" t="str">
        <x:f>IF(C7="","",IF(OR(C7="Biologia",C7="Quimica",C7="Fisica"),"Ciencias da Natureza",IF(C7="Humanas","Ciencias Humanas",C7)))</x:f>
      </x:c>
      <x:c r="E7" s="103"/>
      <x:c r="F7" s="103"/>
      <x:c r="G7" s="133"/>
      <x:c r="H7" s="133"/>
      <x:c r="I7" s="105" t="str">
        <x:f>IF(G7=0,"",H7/G7)</x:f>
      </x:c>
      <x:c r="J7" s="107" t="str">
        <x:f>IF(C7="","",IF(OR(C7="Biologia",C7="Quimica",C7="Fisica"),3,IF(OR(C7="Redacao",C7="Linguagens"),2,1.5)))</x:f>
      </x:c>
      <x:c r="K7" s="107" t="str">
        <x:f>IF(OR(G7=0,J7=""),"",H7*J7)</x:f>
      </x:c>
      <x:c r="L7" s="103"/>
      <x:c r="M7" s="103"/>
      <x:c r="N7" s="103"/>
    </x:row>
    <x:row r="8">
      <x:c r="A8" s="132"/>
      <x:c r="B8" s="103"/>
      <x:c r="C8" s="103"/>
      <x:c r="D8" s="103" t="str">
        <x:f>IF(C8="","",IF(OR(C8="Biologia",C8="Quimica",C8="Fisica"),"Ciencias da Natureza",IF(C8="Humanas","Ciencias Humanas",C8)))</x:f>
      </x:c>
      <x:c r="E8" s="103"/>
      <x:c r="F8" s="103"/>
      <x:c r="G8" s="133"/>
      <x:c r="H8" s="133"/>
      <x:c r="I8" s="105" t="str">
        <x:f>IF(G8=0,"",H8/G8)</x:f>
      </x:c>
      <x:c r="J8" s="107" t="str">
        <x:f>IF(C8="","",IF(OR(C8="Biologia",C8="Quimica",C8="Fisica"),3,IF(OR(C8="Redacao",C8="Linguagens"),2,1.5)))</x:f>
      </x:c>
      <x:c r="K8" s="107" t="str">
        <x:f>IF(OR(G8=0,J8=""),"",H8*J8)</x:f>
      </x:c>
      <x:c r="L8" s="103"/>
      <x:c r="M8" s="103"/>
      <x:c r="N8" s="103"/>
    </x:row>
    <x:row r="9">
      <x:c r="A9" s="132"/>
      <x:c r="B9" s="103"/>
      <x:c r="C9" s="103"/>
      <x:c r="D9" s="103" t="str">
        <x:f>IF(C9="","",IF(OR(C9="Biologia",C9="Quimica",C9="Fisica"),"Ciencias da Natureza",IF(C9="Humanas","Ciencias Humanas",C9)))</x:f>
      </x:c>
      <x:c r="E9" s="103"/>
      <x:c r="F9" s="103"/>
      <x:c r="G9" s="133"/>
      <x:c r="H9" s="133"/>
      <x:c r="I9" s="105" t="str">
        <x:f>IF(G9=0,"",H9/G9)</x:f>
      </x:c>
      <x:c r="J9" s="107" t="str">
        <x:f>IF(C9="","",IF(OR(C9="Biologia",C9="Quimica",C9="Fisica"),3,IF(OR(C9="Redacao",C9="Linguagens"),2,1.5)))</x:f>
      </x:c>
      <x:c r="K9" s="107" t="str">
        <x:f>IF(OR(G9=0,J9=""),"",H9*J9)</x:f>
      </x:c>
      <x:c r="L9" s="103"/>
      <x:c r="M9" s="103"/>
      <x:c r="N9" s="103"/>
    </x:row>
    <x:row r="10">
      <x:c r="A10" s="132"/>
      <x:c r="B10" s="103"/>
      <x:c r="C10" s="103"/>
      <x:c r="D10" s="103" t="str">
        <x:f>IF(C10="","",IF(OR(C10="Biologia",C10="Quimica",C10="Fisica"),"Ciencias da Natureza",IF(C10="Humanas","Ciencias Humanas",C10)))</x:f>
      </x:c>
      <x:c r="E10" s="103"/>
      <x:c r="F10" s="103"/>
      <x:c r="G10" s="133"/>
      <x:c r="H10" s="133"/>
      <x:c r="I10" s="105" t="str">
        <x:f>IF(G10=0,"",H10/G10)</x:f>
      </x:c>
      <x:c r="J10" s="107" t="str">
        <x:f>IF(C10="","",IF(OR(C10="Biologia",C10="Quimica",C10="Fisica"),3,IF(OR(C10="Redacao",C10="Linguagens"),2,1.5)))</x:f>
      </x:c>
      <x:c r="K10" s="107" t="str">
        <x:f>IF(OR(G10=0,J10=""),"",H10*J10)</x:f>
      </x:c>
      <x:c r="L10" s="103"/>
      <x:c r="M10" s="103"/>
      <x:c r="N10" s="103"/>
    </x:row>
    <x:row r="11">
      <x:c r="A11" s="132"/>
      <x:c r="B11" s="103"/>
      <x:c r="C11" s="103"/>
      <x:c r="D11" s="103" t="str">
        <x:f>IF(C11="","",IF(OR(C11="Biologia",C11="Quimica",C11="Fisica"),"Ciencias da Natureza",IF(C11="Humanas","Ciencias Humanas",C11)))</x:f>
      </x:c>
      <x:c r="E11" s="103"/>
      <x:c r="F11" s="103"/>
      <x:c r="G11" s="133"/>
      <x:c r="H11" s="133"/>
      <x:c r="I11" s="105" t="str">
        <x:f>IF(G11=0,"",H11/G11)</x:f>
      </x:c>
      <x:c r="J11" s="107" t="str">
        <x:f>IF(C11="","",IF(OR(C11="Biologia",C11="Quimica",C11="Fisica"),3,IF(OR(C11="Redacao",C11="Linguagens"),2,1.5)))</x:f>
      </x:c>
      <x:c r="K11" s="107" t="str">
        <x:f>IF(OR(G11=0,J11=""),"",H11*J11)</x:f>
      </x:c>
      <x:c r="L11" s="103"/>
      <x:c r="M11" s="103"/>
      <x:c r="N11" s="103"/>
    </x:row>
    <x:row r="12">
      <x:c r="A12" s="132"/>
      <x:c r="B12" s="103"/>
      <x:c r="C12" s="103"/>
      <x:c r="D12" s="103" t="str">
        <x:f>IF(C12="","",IF(OR(C12="Biologia",C12="Quimica",C12="Fisica"),"Ciencias da Natureza",IF(C12="Humanas","Ciencias Humanas",C12)))</x:f>
      </x:c>
      <x:c r="E12" s="103"/>
      <x:c r="F12" s="103"/>
      <x:c r="G12" s="133"/>
      <x:c r="H12" s="133"/>
      <x:c r="I12" s="105" t="str">
        <x:f>IF(G12=0,"",H12/G12)</x:f>
      </x:c>
      <x:c r="J12" s="107" t="str">
        <x:f>IF(C12="","",IF(OR(C12="Biologia",C12="Quimica",C12="Fisica"),3,IF(OR(C12="Redacao",C12="Linguagens"),2,1.5)))</x:f>
      </x:c>
      <x:c r="K12" s="107" t="str">
        <x:f>IF(OR(G12=0,J12=""),"",H12*J12)</x:f>
      </x:c>
      <x:c r="L12" s="103"/>
      <x:c r="M12" s="103"/>
      <x:c r="N12" s="103"/>
    </x:row>
    <x:row r="13">
      <x:c r="A13" s="132"/>
      <x:c r="B13" s="103"/>
      <x:c r="C13" s="103"/>
      <x:c r="D13" s="103" t="str">
        <x:f>IF(C13="","",IF(OR(C13="Biologia",C13="Quimica",C13="Fisica"),"Ciencias da Natureza",IF(C13="Humanas","Ciencias Humanas",C13)))</x:f>
      </x:c>
      <x:c r="E13" s="103"/>
      <x:c r="F13" s="103"/>
      <x:c r="G13" s="133"/>
      <x:c r="H13" s="133"/>
      <x:c r="I13" s="105" t="str">
        <x:f>IF(G13=0,"",H13/G13)</x:f>
      </x:c>
      <x:c r="J13" s="107" t="str">
        <x:f>IF(C13="","",IF(OR(C13="Biologia",C13="Quimica",C13="Fisica"),3,IF(OR(C13="Redacao",C13="Linguagens"),2,1.5)))</x:f>
      </x:c>
      <x:c r="K13" s="107" t="str">
        <x:f>IF(OR(G13=0,J13=""),"",H13*J13)</x:f>
      </x:c>
      <x:c r="L13" s="103"/>
      <x:c r="M13" s="103"/>
      <x:c r="N13" s="103"/>
    </x:row>
    <x:row r="14">
      <x:c r="A14" s="132"/>
      <x:c r="B14" s="103"/>
      <x:c r="C14" s="103"/>
      <x:c r="D14" s="103" t="str">
        <x:f>IF(C14="","",IF(OR(C14="Biologia",C14="Quimica",C14="Fisica"),"Ciencias da Natureza",IF(C14="Humanas","Ciencias Humanas",C14)))</x:f>
      </x:c>
      <x:c r="E14" s="103"/>
      <x:c r="F14" s="103"/>
      <x:c r="G14" s="133"/>
      <x:c r="H14" s="133"/>
      <x:c r="I14" s="105" t="str">
        <x:f>IF(G14=0,"",H14/G14)</x:f>
      </x:c>
      <x:c r="J14" s="107" t="str">
        <x:f>IF(C14="","",IF(OR(C14="Biologia",C14="Quimica",C14="Fisica"),3,IF(OR(C14="Redacao",C14="Linguagens"),2,1.5)))</x:f>
      </x:c>
      <x:c r="K14" s="107" t="str">
        <x:f>IF(OR(G14=0,J14=""),"",H14*J14)</x:f>
      </x:c>
      <x:c r="L14" s="103"/>
      <x:c r="M14" s="103"/>
      <x:c r="N14" s="103"/>
    </x:row>
    <x:row r="15">
      <x:c r="A15" s="132"/>
      <x:c r="B15" s="103"/>
      <x:c r="C15" s="103"/>
      <x:c r="D15" s="103" t="str">
        <x:f>IF(C15="","",IF(OR(C15="Biologia",C15="Quimica",C15="Fisica"),"Ciencias da Natureza",IF(C15="Humanas","Ciencias Humanas",C15)))</x:f>
      </x:c>
      <x:c r="E15" s="103"/>
      <x:c r="F15" s="103"/>
      <x:c r="G15" s="133"/>
      <x:c r="H15" s="133"/>
      <x:c r="I15" s="105" t="str">
        <x:f>IF(G15=0,"",H15/G15)</x:f>
      </x:c>
      <x:c r="J15" s="107" t="str">
        <x:f>IF(C15="","",IF(OR(C15="Biologia",C15="Quimica",C15="Fisica"),3,IF(OR(C15="Redacao",C15="Linguagens"),2,1.5)))</x:f>
      </x:c>
      <x:c r="K15" s="107" t="str">
        <x:f>IF(OR(G15=0,J15=""),"",H15*J15)</x:f>
      </x:c>
      <x:c r="L15" s="103"/>
      <x:c r="M15" s="103"/>
      <x:c r="N15" s="103"/>
    </x:row>
    <x:row r="16">
      <x:c r="A16" s="132"/>
      <x:c r="B16" s="103"/>
      <x:c r="C16" s="103"/>
      <x:c r="D16" s="103" t="str">
        <x:f>IF(C16="","",IF(OR(C16="Biologia",C16="Quimica",C16="Fisica"),"Ciencias da Natureza",IF(C16="Humanas","Ciencias Humanas",C16)))</x:f>
      </x:c>
      <x:c r="E16" s="103"/>
      <x:c r="F16" s="103"/>
      <x:c r="G16" s="133"/>
      <x:c r="H16" s="133"/>
      <x:c r="I16" s="105" t="str">
        <x:f>IF(G16=0,"",H16/G16)</x:f>
      </x:c>
      <x:c r="J16" s="107" t="str">
        <x:f>IF(C16="","",IF(OR(C16="Biologia",C16="Quimica",C16="Fisica"),3,IF(OR(C16="Redacao",C16="Linguagens"),2,1.5)))</x:f>
      </x:c>
      <x:c r="K16" s="107" t="str">
        <x:f>IF(OR(G16=0,J16=""),"",H16*J16)</x:f>
      </x:c>
      <x:c r="L16" s="103"/>
      <x:c r="M16" s="103"/>
      <x:c r="N16" s="103"/>
    </x:row>
    <x:row r="17">
      <x:c r="A17" s="132"/>
      <x:c r="B17" s="103"/>
      <x:c r="C17" s="103"/>
      <x:c r="D17" s="103" t="str">
        <x:f>IF(C17="","",IF(OR(C17="Biologia",C17="Quimica",C17="Fisica"),"Ciencias da Natureza",IF(C17="Humanas","Ciencias Humanas",C17)))</x:f>
      </x:c>
      <x:c r="E17" s="103"/>
      <x:c r="F17" s="103"/>
      <x:c r="G17" s="133"/>
      <x:c r="H17" s="133"/>
      <x:c r="I17" s="105" t="str">
        <x:f>IF(G17=0,"",H17/G17)</x:f>
      </x:c>
      <x:c r="J17" s="107" t="str">
        <x:f>IF(C17="","",IF(OR(C17="Biologia",C17="Quimica",C17="Fisica"),3,IF(OR(C17="Redacao",C17="Linguagens"),2,1.5)))</x:f>
      </x:c>
      <x:c r="K17" s="107" t="str">
        <x:f>IF(OR(G17=0,J17=""),"",H17*J17)</x:f>
      </x:c>
      <x:c r="L17" s="103"/>
      <x:c r="M17" s="103"/>
      <x:c r="N17" s="103"/>
    </x:row>
    <x:row r="18">
      <x:c r="A18" s="132"/>
      <x:c r="B18" s="103"/>
      <x:c r="C18" s="103"/>
      <x:c r="D18" s="103" t="str">
        <x:f>IF(C18="","",IF(OR(C18="Biologia",C18="Quimica",C18="Fisica"),"Ciencias da Natureza",IF(C18="Humanas","Ciencias Humanas",C18)))</x:f>
      </x:c>
      <x:c r="E18" s="103"/>
      <x:c r="F18" s="103"/>
      <x:c r="G18" s="133"/>
      <x:c r="H18" s="133"/>
      <x:c r="I18" s="105" t="str">
        <x:f>IF(G18=0,"",H18/G18)</x:f>
      </x:c>
      <x:c r="J18" s="107" t="str">
        <x:f>IF(C18="","",IF(OR(C18="Biologia",C18="Quimica",C18="Fisica"),3,IF(OR(C18="Redacao",C18="Linguagens"),2,1.5)))</x:f>
      </x:c>
      <x:c r="K18" s="107" t="str">
        <x:f>IF(OR(G18=0,J18=""),"",H18*J18)</x:f>
      </x:c>
      <x:c r="L18" s="103"/>
      <x:c r="M18" s="103"/>
      <x:c r="N18" s="103"/>
    </x:row>
    <x:row r="19">
      <x:c r="A19" s="132"/>
      <x:c r="B19" s="103"/>
      <x:c r="C19" s="103"/>
      <x:c r="D19" s="103" t="str">
        <x:f>IF(C19="","",IF(OR(C19="Biologia",C19="Quimica",C19="Fisica"),"Ciencias da Natureza",IF(C19="Humanas","Ciencias Humanas",C19)))</x:f>
      </x:c>
      <x:c r="E19" s="103"/>
      <x:c r="F19" s="103"/>
      <x:c r="G19" s="133"/>
      <x:c r="H19" s="133"/>
      <x:c r="I19" s="105" t="str">
        <x:f>IF(G19=0,"",H19/G19)</x:f>
      </x:c>
      <x:c r="J19" s="107" t="str">
        <x:f>IF(C19="","",IF(OR(C19="Biologia",C19="Quimica",C19="Fisica"),3,IF(OR(C19="Redacao",C19="Linguagens"),2,1.5)))</x:f>
      </x:c>
      <x:c r="K19" s="107" t="str">
        <x:f>IF(OR(G19=0,J19=""),"",H19*J19)</x:f>
      </x:c>
      <x:c r="L19" s="103"/>
      <x:c r="M19" s="103"/>
      <x:c r="N19" s="103"/>
    </x:row>
    <x:row r="20">
      <x:c r="A20" s="132"/>
      <x:c r="B20" s="103"/>
      <x:c r="C20" s="103"/>
      <x:c r="D20" s="103" t="str">
        <x:f>IF(C20="","",IF(OR(C20="Biologia",C20="Quimica",C20="Fisica"),"Ciencias da Natureza",IF(C20="Humanas","Ciencias Humanas",C20)))</x:f>
      </x:c>
      <x:c r="E20" s="103"/>
      <x:c r="F20" s="103"/>
      <x:c r="G20" s="133"/>
      <x:c r="H20" s="133"/>
      <x:c r="I20" s="105" t="str">
        <x:f>IF(G20=0,"",H20/G20)</x:f>
      </x:c>
      <x:c r="J20" s="107" t="str">
        <x:f>IF(C20="","",IF(OR(C20="Biologia",C20="Quimica",C20="Fisica"),3,IF(OR(C20="Redacao",C20="Linguagens"),2,1.5)))</x:f>
      </x:c>
      <x:c r="K20" s="107" t="str">
        <x:f>IF(OR(G20=0,J20=""),"",H20*J20)</x:f>
      </x:c>
      <x:c r="L20" s="103"/>
      <x:c r="M20" s="103"/>
      <x:c r="N20" s="103"/>
    </x:row>
    <x:row r="21">
      <x:c r="A21" s="132"/>
      <x:c r="B21" s="103"/>
      <x:c r="C21" s="103"/>
      <x:c r="D21" s="103" t="str">
        <x:f>IF(C21="","",IF(OR(C21="Biologia",C21="Quimica",C21="Fisica"),"Ciencias da Natureza",IF(C21="Humanas","Ciencias Humanas",C21)))</x:f>
      </x:c>
      <x:c r="E21" s="103"/>
      <x:c r="F21" s="103"/>
      <x:c r="G21" s="133"/>
      <x:c r="H21" s="133"/>
      <x:c r="I21" s="105" t="str">
        <x:f>IF(G21=0,"",H21/G21)</x:f>
      </x:c>
      <x:c r="J21" s="107" t="str">
        <x:f>IF(C21="","",IF(OR(C21="Biologia",C21="Quimica",C21="Fisica"),3,IF(OR(C21="Redacao",C21="Linguagens"),2,1.5)))</x:f>
      </x:c>
      <x:c r="K21" s="107" t="str">
        <x:f>IF(OR(G21=0,J21=""),"",H21*J21)</x:f>
      </x:c>
      <x:c r="L21" s="103"/>
      <x:c r="M21" s="103"/>
      <x:c r="N21" s="103"/>
    </x:row>
    <x:row r="22">
      <x:c r="A22" s="132"/>
      <x:c r="B22" s="103"/>
      <x:c r="C22" s="103"/>
      <x:c r="D22" s="103" t="str">
        <x:f>IF(C22="","",IF(OR(C22="Biologia",C22="Quimica",C22="Fisica"),"Ciencias da Natureza",IF(C22="Humanas","Ciencias Humanas",C22)))</x:f>
      </x:c>
      <x:c r="E22" s="103"/>
      <x:c r="F22" s="103"/>
      <x:c r="G22" s="133"/>
      <x:c r="H22" s="133"/>
      <x:c r="I22" s="105" t="str">
        <x:f>IF(G22=0,"",H22/G22)</x:f>
      </x:c>
      <x:c r="J22" s="107" t="str">
        <x:f>IF(C22="","",IF(OR(C22="Biologia",C22="Quimica",C22="Fisica"),3,IF(OR(C22="Redacao",C22="Linguagens"),2,1.5)))</x:f>
      </x:c>
      <x:c r="K22" s="107" t="str">
        <x:f>IF(OR(G22=0,J22=""),"",H22*J22)</x:f>
      </x:c>
      <x:c r="L22" s="103"/>
      <x:c r="M22" s="103"/>
      <x:c r="N22" s="103"/>
    </x:row>
    <x:row r="23">
      <x:c r="A23" s="132"/>
      <x:c r="B23" s="103"/>
      <x:c r="C23" s="103"/>
      <x:c r="D23" s="103" t="str">
        <x:f>IF(C23="","",IF(OR(C23="Biologia",C23="Quimica",C23="Fisica"),"Ciencias da Natureza",IF(C23="Humanas","Ciencias Humanas",C23)))</x:f>
      </x:c>
      <x:c r="E23" s="103"/>
      <x:c r="F23" s="103"/>
      <x:c r="G23" s="133"/>
      <x:c r="H23" s="133"/>
      <x:c r="I23" s="105" t="str">
        <x:f>IF(G23=0,"",H23/G23)</x:f>
      </x:c>
      <x:c r="J23" s="107" t="str">
        <x:f>IF(C23="","",IF(OR(C23="Biologia",C23="Quimica",C23="Fisica"),3,IF(OR(C23="Redacao",C23="Linguagens"),2,1.5)))</x:f>
      </x:c>
      <x:c r="K23" s="107" t="str">
        <x:f>IF(OR(G23=0,J23=""),"",H23*J23)</x:f>
      </x:c>
      <x:c r="L23" s="103"/>
      <x:c r="M23" s="103"/>
      <x:c r="N23" s="103"/>
    </x:row>
    <x:row r="24">
      <x:c r="A24" s="132"/>
      <x:c r="B24" s="103"/>
      <x:c r="C24" s="103"/>
      <x:c r="D24" s="103" t="str">
        <x:f>IF(C24="","",IF(OR(C24="Biologia",C24="Quimica",C24="Fisica"),"Ciencias da Natureza",IF(C24="Humanas","Ciencias Humanas",C24)))</x:f>
      </x:c>
      <x:c r="E24" s="103"/>
      <x:c r="F24" s="103"/>
      <x:c r="G24" s="133"/>
      <x:c r="H24" s="133"/>
      <x:c r="I24" s="105" t="str">
        <x:f>IF(G24=0,"",H24/G24)</x:f>
      </x:c>
      <x:c r="J24" s="107" t="str">
        <x:f>IF(C24="","",IF(OR(C24="Biologia",C24="Quimica",C24="Fisica"),3,IF(OR(C24="Redacao",C24="Linguagens"),2,1.5)))</x:f>
      </x:c>
      <x:c r="K24" s="107" t="str">
        <x:f>IF(OR(G24=0,J24=""),"",H24*J24)</x:f>
      </x:c>
      <x:c r="L24" s="103"/>
      <x:c r="M24" s="103"/>
      <x:c r="N24" s="103"/>
    </x:row>
    <x:row r="25">
      <x:c r="A25" s="132"/>
      <x:c r="B25" s="103"/>
      <x:c r="C25" s="103"/>
      <x:c r="D25" s="103" t="str">
        <x:f>IF(C25="","",IF(OR(C25="Biologia",C25="Quimica",C25="Fisica"),"Ciencias da Natureza",IF(C25="Humanas","Ciencias Humanas",C25)))</x:f>
      </x:c>
      <x:c r="E25" s="103"/>
      <x:c r="F25" s="103"/>
      <x:c r="G25" s="133"/>
      <x:c r="H25" s="133"/>
      <x:c r="I25" s="105" t="str">
        <x:f>IF(G25=0,"",H25/G25)</x:f>
      </x:c>
      <x:c r="J25" s="107" t="str">
        <x:f>IF(C25="","",IF(OR(C25="Biologia",C25="Quimica",C25="Fisica"),3,IF(OR(C25="Redacao",C25="Linguagens"),2,1.5)))</x:f>
      </x:c>
      <x:c r="K25" s="107" t="str">
        <x:f>IF(OR(G25=0,J25=""),"",H25*J25)</x:f>
      </x:c>
      <x:c r="L25" s="103"/>
      <x:c r="M25" s="103"/>
      <x:c r="N25" s="103"/>
    </x:row>
    <x:row r="26">
      <x:c r="A26" s="132"/>
      <x:c r="B26" s="103"/>
      <x:c r="C26" s="103"/>
      <x:c r="D26" s="103" t="str">
        <x:f>IF(C26="","",IF(OR(C26="Biologia",C26="Quimica",C26="Fisica"),"Ciencias da Natureza",IF(C26="Humanas","Ciencias Humanas",C26)))</x:f>
      </x:c>
      <x:c r="E26" s="103"/>
      <x:c r="F26" s="103"/>
      <x:c r="G26" s="133"/>
      <x:c r="H26" s="133"/>
      <x:c r="I26" s="105" t="str">
        <x:f>IF(G26=0,"",H26/G26)</x:f>
      </x:c>
      <x:c r="J26" s="107" t="str">
        <x:f>IF(C26="","",IF(OR(C26="Biologia",C26="Quimica",C26="Fisica"),3,IF(OR(C26="Redacao",C26="Linguagens"),2,1.5)))</x:f>
      </x:c>
      <x:c r="K26" s="107" t="str">
        <x:f>IF(OR(G26=0,J26=""),"",H26*J26)</x:f>
      </x:c>
      <x:c r="L26" s="103"/>
      <x:c r="M26" s="103"/>
      <x:c r="N26" s="103"/>
    </x:row>
    <x:row r="27">
      <x:c r="A27" s="132"/>
      <x:c r="B27" s="103"/>
      <x:c r="C27" s="103"/>
      <x:c r="D27" s="103" t="str">
        <x:f>IF(C27="","",IF(OR(C27="Biologia",C27="Quimica",C27="Fisica"),"Ciencias da Natureza",IF(C27="Humanas","Ciencias Humanas",C27)))</x:f>
      </x:c>
      <x:c r="E27" s="103"/>
      <x:c r="F27" s="103"/>
      <x:c r="G27" s="133"/>
      <x:c r="H27" s="133"/>
      <x:c r="I27" s="105" t="str">
        <x:f>IF(G27=0,"",H27/G27)</x:f>
      </x:c>
      <x:c r="J27" s="107" t="str">
        <x:f>IF(C27="","",IF(OR(C27="Biologia",C27="Quimica",C27="Fisica"),3,IF(OR(C27="Redacao",C27="Linguagens"),2,1.5)))</x:f>
      </x:c>
      <x:c r="K27" s="107" t="str">
        <x:f>IF(OR(G27=0,J27=""),"",H27*J27)</x:f>
      </x:c>
      <x:c r="L27" s="103"/>
      <x:c r="M27" s="103"/>
      <x:c r="N27" s="103"/>
    </x:row>
    <x:row r="28">
      <x:c r="A28" s="132"/>
      <x:c r="B28" s="103"/>
      <x:c r="C28" s="103"/>
      <x:c r="D28" s="103" t="str">
        <x:f>IF(C28="","",IF(OR(C28="Biologia",C28="Quimica",C28="Fisica"),"Ciencias da Natureza",IF(C28="Humanas","Ciencias Humanas",C28)))</x:f>
      </x:c>
      <x:c r="E28" s="103"/>
      <x:c r="F28" s="103"/>
      <x:c r="G28" s="133"/>
      <x:c r="H28" s="133"/>
      <x:c r="I28" s="105" t="str">
        <x:f>IF(G28=0,"",H28/G28)</x:f>
      </x:c>
      <x:c r="J28" s="107" t="str">
        <x:f>IF(C28="","",IF(OR(C28="Biologia",C28="Quimica",C28="Fisica"),3,IF(OR(C28="Redacao",C28="Linguagens"),2,1.5)))</x:f>
      </x:c>
      <x:c r="K28" s="107" t="str">
        <x:f>IF(OR(G28=0,J28=""),"",H28*J28)</x:f>
      </x:c>
      <x:c r="L28" s="103"/>
      <x:c r="M28" s="103"/>
      <x:c r="N28" s="103"/>
    </x:row>
    <x:row r="29">
      <x:c r="A29" s="132"/>
      <x:c r="B29" s="103"/>
      <x:c r="C29" s="103"/>
      <x:c r="D29" s="103" t="str">
        <x:f>IF(C29="","",IF(OR(C29="Biologia",C29="Quimica",C29="Fisica"),"Ciencias da Natureza",IF(C29="Humanas","Ciencias Humanas",C29)))</x:f>
      </x:c>
      <x:c r="E29" s="103"/>
      <x:c r="F29" s="103"/>
      <x:c r="G29" s="133"/>
      <x:c r="H29" s="133"/>
      <x:c r="I29" s="105" t="str">
        <x:f>IF(G29=0,"",H29/G29)</x:f>
      </x:c>
      <x:c r="J29" s="107" t="str">
        <x:f>IF(C29="","",IF(OR(C29="Biologia",C29="Quimica",C29="Fisica"),3,IF(OR(C29="Redacao",C29="Linguagens"),2,1.5)))</x:f>
      </x:c>
      <x:c r="K29" s="107" t="str">
        <x:f>IF(OR(G29=0,J29=""),"",H29*J29)</x:f>
      </x:c>
      <x:c r="L29" s="103"/>
      <x:c r="M29" s="103"/>
      <x:c r="N29" s="103"/>
    </x:row>
    <x:row r="30">
      <x:c r="A30" s="132"/>
      <x:c r="B30" s="103"/>
      <x:c r="C30" s="103"/>
      <x:c r="D30" s="103" t="str">
        <x:f>IF(C30="","",IF(OR(C30="Biologia",C30="Quimica",C30="Fisica"),"Ciencias da Natureza",IF(C30="Humanas","Ciencias Humanas",C30)))</x:f>
      </x:c>
      <x:c r="E30" s="103"/>
      <x:c r="F30" s="103"/>
      <x:c r="G30" s="133"/>
      <x:c r="H30" s="133"/>
      <x:c r="I30" s="105" t="str">
        <x:f>IF(G30=0,"",H30/G30)</x:f>
      </x:c>
      <x:c r="J30" s="107" t="str">
        <x:f>IF(C30="","",IF(OR(C30="Biologia",C30="Quimica",C30="Fisica"),3,IF(OR(C30="Redacao",C30="Linguagens"),2,1.5)))</x:f>
      </x:c>
      <x:c r="K30" s="107" t="str">
        <x:f>IF(OR(G30=0,J30=""),"",H30*J30)</x:f>
      </x:c>
      <x:c r="L30" s="103"/>
      <x:c r="M30" s="103"/>
      <x:c r="N30" s="103"/>
    </x:row>
    <x:row r="31">
      <x:c r="A31" s="132"/>
      <x:c r="B31" s="103"/>
      <x:c r="C31" s="103"/>
      <x:c r="D31" s="103" t="str">
        <x:f>IF(C31="","",IF(OR(C31="Biologia",C31="Quimica",C31="Fisica"),"Ciencias da Natureza",IF(C31="Humanas","Ciencias Humanas",C31)))</x:f>
      </x:c>
      <x:c r="E31" s="103"/>
      <x:c r="F31" s="103"/>
      <x:c r="G31" s="133"/>
      <x:c r="H31" s="133"/>
      <x:c r="I31" s="105" t="str">
        <x:f>IF(G31=0,"",H31/G31)</x:f>
      </x:c>
      <x:c r="J31" s="107" t="str">
        <x:f>IF(C31="","",IF(OR(C31="Biologia",C31="Quimica",C31="Fisica"),3,IF(OR(C31="Redacao",C31="Linguagens"),2,1.5)))</x:f>
      </x:c>
      <x:c r="K31" s="107" t="str">
        <x:f>IF(OR(G31=0,J31=""),"",H31*J31)</x:f>
      </x:c>
      <x:c r="L31" s="103"/>
      <x:c r="M31" s="103"/>
      <x:c r="N31" s="103"/>
    </x:row>
    <x:row r="32">
      <x:c r="A32" s="132"/>
      <x:c r="B32" s="103"/>
      <x:c r="C32" s="103"/>
      <x:c r="D32" s="103" t="str">
        <x:f>IF(C32="","",IF(OR(C32="Biologia",C32="Quimica",C32="Fisica"),"Ciencias da Natureza",IF(C32="Humanas","Ciencias Humanas",C32)))</x:f>
      </x:c>
      <x:c r="E32" s="103"/>
      <x:c r="F32" s="103"/>
      <x:c r="G32" s="133"/>
      <x:c r="H32" s="133"/>
      <x:c r="I32" s="105" t="str">
        <x:f>IF(G32=0,"",H32/G32)</x:f>
      </x:c>
      <x:c r="J32" s="107" t="str">
        <x:f>IF(C32="","",IF(OR(C32="Biologia",C32="Quimica",C32="Fisica"),3,IF(OR(C32="Redacao",C32="Linguagens"),2,1.5)))</x:f>
      </x:c>
      <x:c r="K32" s="107" t="str">
        <x:f>IF(OR(G32=0,J32=""),"",H32*J32)</x:f>
      </x:c>
      <x:c r="L32" s="103"/>
      <x:c r="M32" s="103"/>
      <x:c r="N32" s="103"/>
    </x:row>
    <x:row r="33">
      <x:c r="A33" s="132"/>
      <x:c r="B33" s="103"/>
      <x:c r="C33" s="103"/>
      <x:c r="D33" s="103" t="str">
        <x:f>IF(C33="","",IF(OR(C33="Biologia",C33="Quimica",C33="Fisica"),"Ciencias da Natureza",IF(C33="Humanas","Ciencias Humanas",C33)))</x:f>
      </x:c>
      <x:c r="E33" s="103"/>
      <x:c r="F33" s="103"/>
      <x:c r="G33" s="133"/>
      <x:c r="H33" s="133"/>
      <x:c r="I33" s="105" t="str">
        <x:f>IF(G33=0,"",H33/G33)</x:f>
      </x:c>
      <x:c r="J33" s="107" t="str">
        <x:f>IF(C33="","",IF(OR(C33="Biologia",C33="Quimica",C33="Fisica"),3,IF(OR(C33="Redacao",C33="Linguagens"),2,1.5)))</x:f>
      </x:c>
      <x:c r="K33" s="107" t="str">
        <x:f>IF(OR(G33=0,J33=""),"",H33*J33)</x:f>
      </x:c>
      <x:c r="L33" s="103"/>
      <x:c r="M33" s="103"/>
      <x:c r="N33" s="103"/>
    </x:row>
    <x:row r="34">
      <x:c r="A34" s="132"/>
      <x:c r="B34" s="103"/>
      <x:c r="C34" s="103"/>
      <x:c r="D34" s="103" t="str">
        <x:f>IF(C34="","",IF(OR(C34="Biologia",C34="Quimica",C34="Fisica"),"Ciencias da Natureza",IF(C34="Humanas","Ciencias Humanas",C34)))</x:f>
      </x:c>
      <x:c r="E34" s="103"/>
      <x:c r="F34" s="103"/>
      <x:c r="G34" s="133"/>
      <x:c r="H34" s="133"/>
      <x:c r="I34" s="105" t="str">
        <x:f>IF(G34=0,"",H34/G34)</x:f>
      </x:c>
      <x:c r="J34" s="107" t="str">
        <x:f>IF(C34="","",IF(OR(C34="Biologia",C34="Quimica",C34="Fisica"),3,IF(OR(C34="Redacao",C34="Linguagens"),2,1.5)))</x:f>
      </x:c>
      <x:c r="K34" s="107" t="str">
        <x:f>IF(OR(G34=0,J34=""),"",H34*J34)</x:f>
      </x:c>
      <x:c r="L34" s="103"/>
      <x:c r="M34" s="103"/>
      <x:c r="N34" s="103"/>
    </x:row>
    <x:row r="35">
      <x:c r="A35" s="132"/>
      <x:c r="B35" s="103"/>
      <x:c r="C35" s="103"/>
      <x:c r="D35" s="103" t="str">
        <x:f>IF(C35="","",IF(OR(C35="Biologia",C35="Quimica",C35="Fisica"),"Ciencias da Natureza",IF(C35="Humanas","Ciencias Humanas",C35)))</x:f>
      </x:c>
      <x:c r="E35" s="103"/>
      <x:c r="F35" s="103"/>
      <x:c r="G35" s="133"/>
      <x:c r="H35" s="133"/>
      <x:c r="I35" s="105" t="str">
        <x:f>IF(G35=0,"",H35/G35)</x:f>
      </x:c>
      <x:c r="J35" s="107" t="str">
        <x:f>IF(C35="","",IF(OR(C35="Biologia",C35="Quimica",C35="Fisica"),3,IF(OR(C35="Redacao",C35="Linguagens"),2,1.5)))</x:f>
      </x:c>
      <x:c r="K35" s="107" t="str">
        <x:f>IF(OR(G35=0,J35=""),"",H35*J35)</x:f>
      </x:c>
      <x:c r="L35" s="103"/>
      <x:c r="M35" s="103"/>
      <x:c r="N35" s="103"/>
    </x:row>
    <x:row r="36">
      <x:c r="A36" s="132"/>
      <x:c r="B36" s="103"/>
      <x:c r="C36" s="103"/>
      <x:c r="D36" s="103" t="str">
        <x:f>IF(C36="","",IF(OR(C36="Biologia",C36="Quimica",C36="Fisica"),"Ciencias da Natureza",IF(C36="Humanas","Ciencias Humanas",C36)))</x:f>
      </x:c>
      <x:c r="E36" s="103"/>
      <x:c r="F36" s="103"/>
      <x:c r="G36" s="133"/>
      <x:c r="H36" s="133"/>
      <x:c r="I36" s="105" t="str">
        <x:f>IF(G36=0,"",H36/G36)</x:f>
      </x:c>
      <x:c r="J36" s="107" t="str">
        <x:f>IF(C36="","",IF(OR(C36="Biologia",C36="Quimica",C36="Fisica"),3,IF(OR(C36="Redacao",C36="Linguagens"),2,1.5)))</x:f>
      </x:c>
      <x:c r="K36" s="107" t="str">
        <x:f>IF(OR(G36=0,J36=""),"",H36*J36)</x:f>
      </x:c>
      <x:c r="L36" s="103"/>
      <x:c r="M36" s="103"/>
      <x:c r="N36" s="103"/>
    </x:row>
    <x:row r="37">
      <x:c r="A37" s="132"/>
      <x:c r="B37" s="103"/>
      <x:c r="C37" s="103"/>
      <x:c r="D37" s="103" t="str">
        <x:f>IF(C37="","",IF(OR(C37="Biologia",C37="Quimica",C37="Fisica"),"Ciencias da Natureza",IF(C37="Humanas","Ciencias Humanas",C37)))</x:f>
      </x:c>
      <x:c r="E37" s="103"/>
      <x:c r="F37" s="103"/>
      <x:c r="G37" s="133"/>
      <x:c r="H37" s="133"/>
      <x:c r="I37" s="105" t="str">
        <x:f>IF(G37=0,"",H37/G37)</x:f>
      </x:c>
      <x:c r="J37" s="107" t="str">
        <x:f>IF(C37="","",IF(OR(C37="Biologia",C37="Quimica",C37="Fisica"),3,IF(OR(C37="Redacao",C37="Linguagens"),2,1.5)))</x:f>
      </x:c>
      <x:c r="K37" s="107" t="str">
        <x:f>IF(OR(G37=0,J37=""),"",H37*J37)</x:f>
      </x:c>
      <x:c r="L37" s="103"/>
      <x:c r="M37" s="103"/>
      <x:c r="N37" s="103"/>
    </x:row>
    <x:row r="38">
      <x:c r="A38" s="132"/>
      <x:c r="B38" s="103"/>
      <x:c r="C38" s="103"/>
      <x:c r="D38" s="103" t="str">
        <x:f>IF(C38="","",IF(OR(C38="Biologia",C38="Quimica",C38="Fisica"),"Ciencias da Natureza",IF(C38="Humanas","Ciencias Humanas",C38)))</x:f>
      </x:c>
      <x:c r="E38" s="103"/>
      <x:c r="F38" s="103"/>
      <x:c r="G38" s="133"/>
      <x:c r="H38" s="133"/>
      <x:c r="I38" s="105" t="str">
        <x:f>IF(G38=0,"",H38/G38)</x:f>
      </x:c>
      <x:c r="J38" s="107" t="str">
        <x:f>IF(C38="","",IF(OR(C38="Biologia",C38="Quimica",C38="Fisica"),3,IF(OR(C38="Redacao",C38="Linguagens"),2,1.5)))</x:f>
      </x:c>
      <x:c r="K38" s="107" t="str">
        <x:f>IF(OR(G38=0,J38=""),"",H38*J38)</x:f>
      </x:c>
      <x:c r="L38" s="103"/>
      <x:c r="M38" s="103"/>
      <x:c r="N38" s="103"/>
    </x:row>
    <x:row r="39">
      <x:c r="A39" s="132"/>
      <x:c r="B39" s="103"/>
      <x:c r="C39" s="103"/>
      <x:c r="D39" s="103" t="str">
        <x:f>IF(C39="","",IF(OR(C39="Biologia",C39="Quimica",C39="Fisica"),"Ciencias da Natureza",IF(C39="Humanas","Ciencias Humanas",C39)))</x:f>
      </x:c>
      <x:c r="E39" s="103"/>
      <x:c r="F39" s="103"/>
      <x:c r="G39" s="133"/>
      <x:c r="H39" s="133"/>
      <x:c r="I39" s="105" t="str">
        <x:f>IF(G39=0,"",H39/G39)</x:f>
      </x:c>
      <x:c r="J39" s="107" t="str">
        <x:f>IF(C39="","",IF(OR(C39="Biologia",C39="Quimica",C39="Fisica"),3,IF(OR(C39="Redacao",C39="Linguagens"),2,1.5)))</x:f>
      </x:c>
      <x:c r="K39" s="107" t="str">
        <x:f>IF(OR(G39=0,J39=""),"",H39*J39)</x:f>
      </x:c>
      <x:c r="L39" s="103"/>
      <x:c r="M39" s="103"/>
      <x:c r="N39" s="103"/>
    </x:row>
    <x:row r="40">
      <x:c r="A40" s="132"/>
      <x:c r="B40" s="103"/>
      <x:c r="C40" s="103"/>
      <x:c r="D40" s="103" t="str">
        <x:f>IF(C40="","",IF(OR(C40="Biologia",C40="Quimica",C40="Fisica"),"Ciencias da Natureza",IF(C40="Humanas","Ciencias Humanas",C40)))</x:f>
      </x:c>
      <x:c r="E40" s="103"/>
      <x:c r="F40" s="103"/>
      <x:c r="G40" s="133"/>
      <x:c r="H40" s="133"/>
      <x:c r="I40" s="105" t="str">
        <x:f>IF(G40=0,"",H40/G40)</x:f>
      </x:c>
      <x:c r="J40" s="107" t="str">
        <x:f>IF(C40="","",IF(OR(C40="Biologia",C40="Quimica",C40="Fisica"),3,IF(OR(C40="Redacao",C40="Linguagens"),2,1.5)))</x:f>
      </x:c>
      <x:c r="K40" s="107" t="str">
        <x:f>IF(OR(G40=0,J40=""),"",H40*J40)</x:f>
      </x:c>
      <x:c r="L40" s="103"/>
      <x:c r="M40" s="103"/>
      <x:c r="N40" s="103"/>
    </x:row>
    <x:row r="41">
      <x:c r="A41" s="132"/>
      <x:c r="B41" s="103"/>
      <x:c r="C41" s="103"/>
      <x:c r="D41" s="103" t="str">
        <x:f>IF(C41="","",IF(OR(C41="Biologia",C41="Quimica",C41="Fisica"),"Ciencias da Natureza",IF(C41="Humanas","Ciencias Humanas",C41)))</x:f>
      </x:c>
      <x:c r="E41" s="103"/>
      <x:c r="F41" s="103"/>
      <x:c r="G41" s="133"/>
      <x:c r="H41" s="133"/>
      <x:c r="I41" s="105" t="str">
        <x:f>IF(G41=0,"",H41/G41)</x:f>
      </x:c>
      <x:c r="J41" s="107" t="str">
        <x:f>IF(C41="","",IF(OR(C41="Biologia",C41="Quimica",C41="Fisica"),3,IF(OR(C41="Redacao",C41="Linguagens"),2,1.5)))</x:f>
      </x:c>
      <x:c r="K41" s="107" t="str">
        <x:f>IF(OR(G41=0,J41=""),"",H41*J41)</x:f>
      </x:c>
      <x:c r="L41" s="103"/>
      <x:c r="M41" s="103"/>
      <x:c r="N41" s="103"/>
    </x:row>
    <x:row r="42">
      <x:c r="A42" s="132"/>
      <x:c r="B42" s="103"/>
      <x:c r="C42" s="103"/>
      <x:c r="D42" s="103" t="str">
        <x:f>IF(C42="","",IF(OR(C42="Biologia",C42="Quimica",C42="Fisica"),"Ciencias da Natureza",IF(C42="Humanas","Ciencias Humanas",C42)))</x:f>
      </x:c>
      <x:c r="E42" s="103"/>
      <x:c r="F42" s="103"/>
      <x:c r="G42" s="133"/>
      <x:c r="H42" s="133"/>
      <x:c r="I42" s="105" t="str">
        <x:f>IF(G42=0,"",H42/G42)</x:f>
      </x:c>
      <x:c r="J42" s="107" t="str">
        <x:f>IF(C42="","",IF(OR(C42="Biologia",C42="Quimica",C42="Fisica"),3,IF(OR(C42="Redacao",C42="Linguagens"),2,1.5)))</x:f>
      </x:c>
      <x:c r="K42" s="107" t="str">
        <x:f>IF(OR(G42=0,J42=""),"",H42*J42)</x:f>
      </x:c>
      <x:c r="L42" s="103"/>
      <x:c r="M42" s="103"/>
      <x:c r="N42" s="103"/>
    </x:row>
    <x:row r="43">
      <x:c r="A43" s="132"/>
      <x:c r="B43" s="103"/>
      <x:c r="C43" s="103"/>
      <x:c r="D43" s="103" t="str">
        <x:f>IF(C43="","",IF(OR(C43="Biologia",C43="Quimica",C43="Fisica"),"Ciencias da Natureza",IF(C43="Humanas","Ciencias Humanas",C43)))</x:f>
      </x:c>
      <x:c r="E43" s="103"/>
      <x:c r="F43" s="103"/>
      <x:c r="G43" s="133"/>
      <x:c r="H43" s="133"/>
      <x:c r="I43" s="105" t="str">
        <x:f>IF(G43=0,"",H43/G43)</x:f>
      </x:c>
      <x:c r="J43" s="107" t="str">
        <x:f>IF(C43="","",IF(OR(C43="Biologia",C43="Quimica",C43="Fisica"),3,IF(OR(C43="Redacao",C43="Linguagens"),2,1.5)))</x:f>
      </x:c>
      <x:c r="K43" s="107" t="str">
        <x:f>IF(OR(G43=0,J43=""),"",H43*J43)</x:f>
      </x:c>
      <x:c r="L43" s="103"/>
      <x:c r="M43" s="103"/>
      <x:c r="N43" s="103"/>
    </x:row>
    <x:row r="44">
      <x:c r="A44" s="132"/>
      <x:c r="B44" s="103"/>
      <x:c r="C44" s="103"/>
      <x:c r="D44" s="103" t="str">
        <x:f>IF(C44="","",IF(OR(C44="Biologia",C44="Quimica",C44="Fisica"),"Ciencias da Natureza",IF(C44="Humanas","Ciencias Humanas",C44)))</x:f>
      </x:c>
      <x:c r="E44" s="103"/>
      <x:c r="F44" s="103"/>
      <x:c r="G44" s="133"/>
      <x:c r="H44" s="133"/>
      <x:c r="I44" s="105" t="str">
        <x:f>IF(G44=0,"",H44/G44)</x:f>
      </x:c>
      <x:c r="J44" s="107" t="str">
        <x:f>IF(C44="","",IF(OR(C44="Biologia",C44="Quimica",C44="Fisica"),3,IF(OR(C44="Redacao",C44="Linguagens"),2,1.5)))</x:f>
      </x:c>
      <x:c r="K44" s="107" t="str">
        <x:f>IF(OR(G44=0,J44=""),"",H44*J44)</x:f>
      </x:c>
      <x:c r="L44" s="103"/>
      <x:c r="M44" s="103"/>
      <x:c r="N44" s="103"/>
    </x:row>
    <x:row r="45">
      <x:c r="A45" s="132"/>
      <x:c r="B45" s="103"/>
      <x:c r="C45" s="103"/>
      <x:c r="D45" s="103" t="str">
        <x:f>IF(C45="","",IF(OR(C45="Biologia",C45="Quimica",C45="Fisica"),"Ciencias da Natureza",IF(C45="Humanas","Ciencias Humanas",C45)))</x:f>
      </x:c>
      <x:c r="E45" s="103"/>
      <x:c r="F45" s="103"/>
      <x:c r="G45" s="133"/>
      <x:c r="H45" s="133"/>
      <x:c r="I45" s="105" t="str">
        <x:f>IF(G45=0,"",H45/G45)</x:f>
      </x:c>
      <x:c r="J45" s="107" t="str">
        <x:f>IF(C45="","",IF(OR(C45="Biologia",C45="Quimica",C45="Fisica"),3,IF(OR(C45="Redacao",C45="Linguagens"),2,1.5)))</x:f>
      </x:c>
      <x:c r="K45" s="107" t="str">
        <x:f>IF(OR(G45=0,J45=""),"",H45*J45)</x:f>
      </x:c>
      <x:c r="L45" s="103"/>
      <x:c r="M45" s="103"/>
      <x:c r="N45" s="103"/>
    </x:row>
    <x:row r="46">
      <x:c r="A46" s="132"/>
      <x:c r="B46" s="103"/>
      <x:c r="C46" s="103"/>
      <x:c r="D46" s="103" t="str">
        <x:f>IF(C46="","",IF(OR(C46="Biologia",C46="Quimica",C46="Fisica"),"Ciencias da Natureza",IF(C46="Humanas","Ciencias Humanas",C46)))</x:f>
      </x:c>
      <x:c r="E46" s="103"/>
      <x:c r="F46" s="103"/>
      <x:c r="G46" s="133"/>
      <x:c r="H46" s="133"/>
      <x:c r="I46" s="105" t="str">
        <x:f>IF(G46=0,"",H46/G46)</x:f>
      </x:c>
      <x:c r="J46" s="107" t="str">
        <x:f>IF(C46="","",IF(OR(C46="Biologia",C46="Quimica",C46="Fisica"),3,IF(OR(C46="Redacao",C46="Linguagens"),2,1.5)))</x:f>
      </x:c>
      <x:c r="K46" s="107" t="str">
        <x:f>IF(OR(G46=0,J46=""),"",H46*J46)</x:f>
      </x:c>
      <x:c r="L46" s="103"/>
      <x:c r="M46" s="103"/>
      <x:c r="N46" s="103"/>
    </x:row>
    <x:row r="47">
      <x:c r="A47" s="132"/>
      <x:c r="B47" s="103"/>
      <x:c r="C47" s="103"/>
      <x:c r="D47" s="103" t="str">
        <x:f>IF(C47="","",IF(OR(C47="Biologia",C47="Quimica",C47="Fisica"),"Ciencias da Natureza",IF(C47="Humanas","Ciencias Humanas",C47)))</x:f>
      </x:c>
      <x:c r="E47" s="103"/>
      <x:c r="F47" s="103"/>
      <x:c r="G47" s="133"/>
      <x:c r="H47" s="133"/>
      <x:c r="I47" s="105" t="str">
        <x:f>IF(G47=0,"",H47/G47)</x:f>
      </x:c>
      <x:c r="J47" s="107" t="str">
        <x:f>IF(C47="","",IF(OR(C47="Biologia",C47="Quimica",C47="Fisica"),3,IF(OR(C47="Redacao",C47="Linguagens"),2,1.5)))</x:f>
      </x:c>
      <x:c r="K47" s="107" t="str">
        <x:f>IF(OR(G47=0,J47=""),"",H47*J47)</x:f>
      </x:c>
      <x:c r="L47" s="103"/>
      <x:c r="M47" s="103"/>
      <x:c r="N47" s="103"/>
    </x:row>
    <x:row r="48">
      <x:c r="A48" s="132"/>
      <x:c r="B48" s="103"/>
      <x:c r="C48" s="103"/>
      <x:c r="D48" s="103" t="str">
        <x:f>IF(C48="","",IF(OR(C48="Biologia",C48="Quimica",C48="Fisica"),"Ciencias da Natureza",IF(C48="Humanas","Ciencias Humanas",C48)))</x:f>
      </x:c>
      <x:c r="E48" s="103"/>
      <x:c r="F48" s="103"/>
      <x:c r="G48" s="133"/>
      <x:c r="H48" s="133"/>
      <x:c r="I48" s="105" t="str">
        <x:f>IF(G48=0,"",H48/G48)</x:f>
      </x:c>
      <x:c r="J48" s="107" t="str">
        <x:f>IF(C48="","",IF(OR(C48="Biologia",C48="Quimica",C48="Fisica"),3,IF(OR(C48="Redacao",C48="Linguagens"),2,1.5)))</x:f>
      </x:c>
      <x:c r="K48" s="107" t="str">
        <x:f>IF(OR(G48=0,J48=""),"",H48*J48)</x:f>
      </x:c>
      <x:c r="L48" s="103"/>
      <x:c r="M48" s="103"/>
      <x:c r="N48" s="103"/>
    </x:row>
    <x:row r="49">
      <x:c r="A49" s="132"/>
      <x:c r="B49" s="103"/>
      <x:c r="C49" s="103"/>
      <x:c r="D49" s="103" t="str">
        <x:f>IF(C49="","",IF(OR(C49="Biologia",C49="Quimica",C49="Fisica"),"Ciencias da Natureza",IF(C49="Humanas","Ciencias Humanas",C49)))</x:f>
      </x:c>
      <x:c r="E49" s="103"/>
      <x:c r="F49" s="103"/>
      <x:c r="G49" s="133"/>
      <x:c r="H49" s="133"/>
      <x:c r="I49" s="105" t="str">
        <x:f>IF(G49=0,"",H49/G49)</x:f>
      </x:c>
      <x:c r="J49" s="107" t="str">
        <x:f>IF(C49="","",IF(OR(C49="Biologia",C49="Quimica",C49="Fisica"),3,IF(OR(C49="Redacao",C49="Linguagens"),2,1.5)))</x:f>
      </x:c>
      <x:c r="K49" s="107" t="str">
        <x:f>IF(OR(G49=0,J49=""),"",H49*J49)</x:f>
      </x:c>
      <x:c r="L49" s="103"/>
      <x:c r="M49" s="103"/>
      <x:c r="N49" s="103"/>
    </x:row>
    <x:row r="50">
      <x:c r="A50" s="132"/>
      <x:c r="B50" s="103"/>
      <x:c r="C50" s="103"/>
      <x:c r="D50" s="103" t="str">
        <x:f>IF(C50="","",IF(OR(C50="Biologia",C50="Quimica",C50="Fisica"),"Ciencias da Natureza",IF(C50="Humanas","Ciencias Humanas",C50)))</x:f>
      </x:c>
      <x:c r="E50" s="103"/>
      <x:c r="F50" s="103"/>
      <x:c r="G50" s="133"/>
      <x:c r="H50" s="133"/>
      <x:c r="I50" s="105" t="str">
        <x:f>IF(G50=0,"",H50/G50)</x:f>
      </x:c>
      <x:c r="J50" s="107" t="str">
        <x:f>IF(C50="","",IF(OR(C50="Biologia",C50="Quimica",C50="Fisica"),3,IF(OR(C50="Redacao",C50="Linguagens"),2,1.5)))</x:f>
      </x:c>
      <x:c r="K50" s="107" t="str">
        <x:f>IF(OR(G50=0,J50=""),"",H50*J50)</x:f>
      </x:c>
      <x:c r="L50" s="103"/>
      <x:c r="M50" s="103"/>
      <x:c r="N50" s="103"/>
    </x:row>
    <x:row r="51">
      <x:c r="A51" s="132"/>
      <x:c r="B51" s="103"/>
      <x:c r="C51" s="103"/>
      <x:c r="D51" s="103" t="str">
        <x:f>IF(C51="","",IF(OR(C51="Biologia",C51="Quimica",C51="Fisica"),"Ciencias da Natureza",IF(C51="Humanas","Ciencias Humanas",C51)))</x:f>
      </x:c>
      <x:c r="E51" s="103"/>
      <x:c r="F51" s="103"/>
      <x:c r="G51" s="133"/>
      <x:c r="H51" s="133"/>
      <x:c r="I51" s="105" t="str">
        <x:f>IF(G51=0,"",H51/G51)</x:f>
      </x:c>
      <x:c r="J51" s="107" t="str">
        <x:f>IF(C51="","",IF(OR(C51="Biologia",C51="Quimica",C51="Fisica"),3,IF(OR(C51="Redacao",C51="Linguagens"),2,1.5)))</x:f>
      </x:c>
      <x:c r="K51" s="107" t="str">
        <x:f>IF(OR(G51=0,J51=""),"",H51*J51)</x:f>
      </x:c>
      <x:c r="L51" s="103"/>
      <x:c r="M51" s="103"/>
      <x:c r="N51" s="103"/>
    </x:row>
    <x:row r="52">
      <x:c r="A52" s="132"/>
      <x:c r="B52" s="103"/>
      <x:c r="C52" s="103"/>
      <x:c r="D52" s="103" t="str">
        <x:f>IF(C52="","",IF(OR(C52="Biologia",C52="Quimica",C52="Fisica"),"Ciencias da Natureza",IF(C52="Humanas","Ciencias Humanas",C52)))</x:f>
      </x:c>
      <x:c r="E52" s="103"/>
      <x:c r="F52" s="103"/>
      <x:c r="G52" s="133"/>
      <x:c r="H52" s="133"/>
      <x:c r="I52" s="105" t="str">
        <x:f>IF(G52=0,"",H52/G52)</x:f>
      </x:c>
      <x:c r="J52" s="107" t="str">
        <x:f>IF(C52="","",IF(OR(C52="Biologia",C52="Quimica",C52="Fisica"),3,IF(OR(C52="Redacao",C52="Linguagens"),2,1.5)))</x:f>
      </x:c>
      <x:c r="K52" s="107" t="str">
        <x:f>IF(OR(G52=0,J52=""),"",H52*J52)</x:f>
      </x:c>
      <x:c r="L52" s="103"/>
      <x:c r="M52" s="103"/>
      <x:c r="N52" s="103"/>
    </x:row>
    <x:row r="53">
      <x:c r="A53" s="132"/>
      <x:c r="B53" s="103"/>
      <x:c r="C53" s="103"/>
      <x:c r="D53" s="103" t="str">
        <x:f>IF(C53="","",IF(OR(C53="Biologia",C53="Quimica",C53="Fisica"),"Ciencias da Natureza",IF(C53="Humanas","Ciencias Humanas",C53)))</x:f>
      </x:c>
      <x:c r="E53" s="103"/>
      <x:c r="F53" s="103"/>
      <x:c r="G53" s="133"/>
      <x:c r="H53" s="133"/>
      <x:c r="I53" s="105" t="str">
        <x:f>IF(G53=0,"",H53/G53)</x:f>
      </x:c>
      <x:c r="J53" s="107" t="str">
        <x:f>IF(C53="","",IF(OR(C53="Biologia",C53="Quimica",C53="Fisica"),3,IF(OR(C53="Redacao",C53="Linguagens"),2,1.5)))</x:f>
      </x:c>
      <x:c r="K53" s="107" t="str">
        <x:f>IF(OR(G53=0,J53=""),"",H53*J53)</x:f>
      </x:c>
      <x:c r="L53" s="103"/>
      <x:c r="M53" s="103"/>
      <x:c r="N53" s="103"/>
    </x:row>
    <x:row r="54">
      <x:c r="A54" s="132"/>
      <x:c r="B54" s="103"/>
      <x:c r="C54" s="103"/>
      <x:c r="D54" s="103" t="str">
        <x:f>IF(C54="","",IF(OR(C54="Biologia",C54="Quimica",C54="Fisica"),"Ciencias da Natureza",IF(C54="Humanas","Ciencias Humanas",C54)))</x:f>
      </x:c>
      <x:c r="E54" s="103"/>
      <x:c r="F54" s="103"/>
      <x:c r="G54" s="133"/>
      <x:c r="H54" s="133"/>
      <x:c r="I54" s="105" t="str">
        <x:f>IF(G54=0,"",H54/G54)</x:f>
      </x:c>
      <x:c r="J54" s="107" t="str">
        <x:f>IF(C54="","",IF(OR(C54="Biologia",C54="Quimica",C54="Fisica"),3,IF(OR(C54="Redacao",C54="Linguagens"),2,1.5)))</x:f>
      </x:c>
      <x:c r="K54" s="107" t="str">
        <x:f>IF(OR(G54=0,J54=""),"",H54*J54)</x:f>
      </x:c>
      <x:c r="L54" s="103"/>
      <x:c r="M54" s="103"/>
      <x:c r="N54" s="103"/>
    </x:row>
    <x:row r="55">
      <x:c r="A55" s="132"/>
      <x:c r="B55" s="103"/>
      <x:c r="C55" s="103"/>
      <x:c r="D55" s="103" t="str">
        <x:f>IF(C55="","",IF(OR(C55="Biologia",C55="Quimica",C55="Fisica"),"Ciencias da Natureza",IF(C55="Humanas","Ciencias Humanas",C55)))</x:f>
      </x:c>
      <x:c r="E55" s="103"/>
      <x:c r="F55" s="103"/>
      <x:c r="G55" s="133"/>
      <x:c r="H55" s="133"/>
      <x:c r="I55" s="105" t="str">
        <x:f>IF(G55=0,"",H55/G55)</x:f>
      </x:c>
      <x:c r="J55" s="107" t="str">
        <x:f>IF(C55="","",IF(OR(C55="Biologia",C55="Quimica",C55="Fisica"),3,IF(OR(C55="Redacao",C55="Linguagens"),2,1.5)))</x:f>
      </x:c>
      <x:c r="K55" s="107" t="str">
        <x:f>IF(OR(G55=0,J55=""),"",H55*J55)</x:f>
      </x:c>
      <x:c r="L55" s="103"/>
      <x:c r="M55" s="103"/>
      <x:c r="N55" s="103"/>
    </x:row>
    <x:row r="56">
      <x:c r="A56" s="132"/>
      <x:c r="B56" s="103"/>
      <x:c r="C56" s="103"/>
      <x:c r="D56" s="103" t="str">
        <x:f>IF(C56="","",IF(OR(C56="Biologia",C56="Quimica",C56="Fisica"),"Ciencias da Natureza",IF(C56="Humanas","Ciencias Humanas",C56)))</x:f>
      </x:c>
      <x:c r="E56" s="103"/>
      <x:c r="F56" s="103"/>
      <x:c r="G56" s="133"/>
      <x:c r="H56" s="133"/>
      <x:c r="I56" s="105" t="str">
        <x:f>IF(G56=0,"",H56/G56)</x:f>
      </x:c>
      <x:c r="J56" s="107" t="str">
        <x:f>IF(C56="","",IF(OR(C56="Biologia",C56="Quimica",C56="Fisica"),3,IF(OR(C56="Redacao",C56="Linguagens"),2,1.5)))</x:f>
      </x:c>
      <x:c r="K56" s="107" t="str">
        <x:f>IF(OR(G56=0,J56=""),"",H56*J56)</x:f>
      </x:c>
      <x:c r="L56" s="103"/>
      <x:c r="M56" s="103"/>
      <x:c r="N56" s="103"/>
    </x:row>
    <x:row r="57">
      <x:c r="A57" s="132"/>
      <x:c r="B57" s="103"/>
      <x:c r="C57" s="103"/>
      <x:c r="D57" s="103" t="str">
        <x:f>IF(C57="","",IF(OR(C57="Biologia",C57="Quimica",C57="Fisica"),"Ciencias da Natureza",IF(C57="Humanas","Ciencias Humanas",C57)))</x:f>
      </x:c>
      <x:c r="E57" s="103"/>
      <x:c r="F57" s="103"/>
      <x:c r="G57" s="133"/>
      <x:c r="H57" s="133"/>
      <x:c r="I57" s="105" t="str">
        <x:f>IF(G57=0,"",H57/G57)</x:f>
      </x:c>
      <x:c r="J57" s="107" t="str">
        <x:f>IF(C57="","",IF(OR(C57="Biologia",C57="Quimica",C57="Fisica"),3,IF(OR(C57="Redacao",C57="Linguagens"),2,1.5)))</x:f>
      </x:c>
      <x:c r="K57" s="107" t="str">
        <x:f>IF(OR(G57=0,J57=""),"",H57*J57)</x:f>
      </x:c>
      <x:c r="L57" s="103"/>
      <x:c r="M57" s="103"/>
      <x:c r="N57" s="103"/>
    </x:row>
    <x:row r="58">
      <x:c r="A58" s="132"/>
      <x:c r="B58" s="103"/>
      <x:c r="C58" s="103"/>
      <x:c r="D58" s="103" t="str">
        <x:f>IF(C58="","",IF(OR(C58="Biologia",C58="Quimica",C58="Fisica"),"Ciencias da Natureza",IF(C58="Humanas","Ciencias Humanas",C58)))</x:f>
      </x:c>
      <x:c r="E58" s="103"/>
      <x:c r="F58" s="103"/>
      <x:c r="G58" s="133"/>
      <x:c r="H58" s="133"/>
      <x:c r="I58" s="105" t="str">
        <x:f>IF(G58=0,"",H58/G58)</x:f>
      </x:c>
      <x:c r="J58" s="107" t="str">
        <x:f>IF(C58="","",IF(OR(C58="Biologia",C58="Quimica",C58="Fisica"),3,IF(OR(C58="Redacao",C58="Linguagens"),2,1.5)))</x:f>
      </x:c>
      <x:c r="K58" s="107" t="str">
        <x:f>IF(OR(G58=0,J58=""),"",H58*J58)</x:f>
      </x:c>
      <x:c r="L58" s="103"/>
      <x:c r="M58" s="103"/>
      <x:c r="N58" s="103"/>
    </x:row>
    <x:row r="59">
      <x:c r="A59" s="132"/>
      <x:c r="B59" s="103"/>
      <x:c r="C59" s="103"/>
      <x:c r="D59" s="103" t="str">
        <x:f>IF(C59="","",IF(OR(C59="Biologia",C59="Quimica",C59="Fisica"),"Ciencias da Natureza",IF(C59="Humanas","Ciencias Humanas",C59)))</x:f>
      </x:c>
      <x:c r="E59" s="103"/>
      <x:c r="F59" s="103"/>
      <x:c r="G59" s="133"/>
      <x:c r="H59" s="133"/>
      <x:c r="I59" s="105" t="str">
        <x:f>IF(G59=0,"",H59/G59)</x:f>
      </x:c>
      <x:c r="J59" s="107" t="str">
        <x:f>IF(C59="","",IF(OR(C59="Biologia",C59="Quimica",C59="Fisica"),3,IF(OR(C59="Redacao",C59="Linguagens"),2,1.5)))</x:f>
      </x:c>
      <x:c r="K59" s="107" t="str">
        <x:f>IF(OR(G59=0,J59=""),"",H59*J59)</x:f>
      </x:c>
      <x:c r="L59" s="103"/>
      <x:c r="M59" s="103"/>
      <x:c r="N59" s="103"/>
    </x:row>
    <x:row r="60">
      <x:c r="A60" s="132"/>
      <x:c r="B60" s="103"/>
      <x:c r="C60" s="103"/>
      <x:c r="D60" s="103" t="str">
        <x:f>IF(C60="","",IF(OR(C60="Biologia",C60="Quimica",C60="Fisica"),"Ciencias da Natureza",IF(C60="Humanas","Ciencias Humanas",C60)))</x:f>
      </x:c>
      <x:c r="E60" s="103"/>
      <x:c r="F60" s="103"/>
      <x:c r="G60" s="133"/>
      <x:c r="H60" s="133"/>
      <x:c r="I60" s="105" t="str">
        <x:f>IF(G60=0,"",H60/G60)</x:f>
      </x:c>
      <x:c r="J60" s="107" t="str">
        <x:f>IF(C60="","",IF(OR(C60="Biologia",C60="Quimica",C60="Fisica"),3,IF(OR(C60="Redacao",C60="Linguagens"),2,1.5)))</x:f>
      </x:c>
      <x:c r="K60" s="107" t="str">
        <x:f>IF(OR(G60=0,J60=""),"",H60*J60)</x:f>
      </x:c>
      <x:c r="L60" s="103"/>
      <x:c r="M60" s="103"/>
      <x:c r="N60" s="103"/>
    </x:row>
    <x:row r="61">
      <x:c r="A61" s="132"/>
      <x:c r="B61" s="103"/>
      <x:c r="C61" s="103"/>
      <x:c r="D61" s="103" t="str">
        <x:f>IF(C61="","",IF(OR(C61="Biologia",C61="Quimica",C61="Fisica"),"Ciencias da Natureza",IF(C61="Humanas","Ciencias Humanas",C61)))</x:f>
      </x:c>
      <x:c r="E61" s="103"/>
      <x:c r="F61" s="103"/>
      <x:c r="G61" s="133"/>
      <x:c r="H61" s="133"/>
      <x:c r="I61" s="105" t="str">
        <x:f>IF(G61=0,"",H61/G61)</x:f>
      </x:c>
      <x:c r="J61" s="107" t="str">
        <x:f>IF(C61="","",IF(OR(C61="Biologia",C61="Quimica",C61="Fisica"),3,IF(OR(C61="Redacao",C61="Linguagens"),2,1.5)))</x:f>
      </x:c>
      <x:c r="K61" s="107" t="str">
        <x:f>IF(OR(G61=0,J61=""),"",H61*J61)</x:f>
      </x:c>
      <x:c r="L61" s="103"/>
      <x:c r="M61" s="103"/>
      <x:c r="N61" s="103"/>
    </x:row>
    <x:row r="62">
      <x:c r="A62" s="132"/>
      <x:c r="B62" s="103"/>
      <x:c r="C62" s="103"/>
      <x:c r="D62" s="103" t="str">
        <x:f>IF(C62="","",IF(OR(C62="Biologia",C62="Quimica",C62="Fisica"),"Ciencias da Natureza",IF(C62="Humanas","Ciencias Humanas",C62)))</x:f>
      </x:c>
      <x:c r="E62" s="103"/>
      <x:c r="F62" s="103"/>
      <x:c r="G62" s="133"/>
      <x:c r="H62" s="133"/>
      <x:c r="I62" s="105" t="str">
        <x:f>IF(G62=0,"",H62/G62)</x:f>
      </x:c>
      <x:c r="J62" s="107" t="str">
        <x:f>IF(C62="","",IF(OR(C62="Biologia",C62="Quimica",C62="Fisica"),3,IF(OR(C62="Redacao",C62="Linguagens"),2,1.5)))</x:f>
      </x:c>
      <x:c r="K62" s="107" t="str">
        <x:f>IF(OR(G62=0,J62=""),"",H62*J62)</x:f>
      </x:c>
      <x:c r="L62" s="103"/>
      <x:c r="M62" s="103"/>
      <x:c r="N62" s="103"/>
    </x:row>
    <x:row r="63">
      <x:c r="A63" s="132"/>
      <x:c r="B63" s="103"/>
      <x:c r="C63" s="103"/>
      <x:c r="D63" s="103" t="str">
        <x:f>IF(C63="","",IF(OR(C63="Biologia",C63="Quimica",C63="Fisica"),"Ciencias da Natureza",IF(C63="Humanas","Ciencias Humanas",C63)))</x:f>
      </x:c>
      <x:c r="E63" s="103"/>
      <x:c r="F63" s="103"/>
      <x:c r="G63" s="133"/>
      <x:c r="H63" s="133"/>
      <x:c r="I63" s="105" t="str">
        <x:f>IF(G63=0,"",H63/G63)</x:f>
      </x:c>
      <x:c r="J63" s="107" t="str">
        <x:f>IF(C63="","",IF(OR(C63="Biologia",C63="Quimica",C63="Fisica"),3,IF(OR(C63="Redacao",C63="Linguagens"),2,1.5)))</x:f>
      </x:c>
      <x:c r="K63" s="107" t="str">
        <x:f>IF(OR(G63=0,J63=""),"",H63*J63)</x:f>
      </x:c>
      <x:c r="L63" s="103"/>
      <x:c r="M63" s="103"/>
      <x:c r="N63" s="103"/>
    </x:row>
    <x:row r="64">
      <x:c r="A64" s="132"/>
      <x:c r="B64" s="103"/>
      <x:c r="C64" s="103"/>
      <x:c r="D64" s="103" t="str">
        <x:f>IF(C64="","",IF(OR(C64="Biologia",C64="Quimica",C64="Fisica"),"Ciencias da Natureza",IF(C64="Humanas","Ciencias Humanas",C64)))</x:f>
      </x:c>
      <x:c r="E64" s="103"/>
      <x:c r="F64" s="103"/>
      <x:c r="G64" s="133"/>
      <x:c r="H64" s="133"/>
      <x:c r="I64" s="105" t="str">
        <x:f>IF(G64=0,"",H64/G64)</x:f>
      </x:c>
      <x:c r="J64" s="107" t="str">
        <x:f>IF(C64="","",IF(OR(C64="Biologia",C64="Quimica",C64="Fisica"),3,IF(OR(C64="Redacao",C64="Linguagens"),2,1.5)))</x:f>
      </x:c>
      <x:c r="K64" s="107" t="str">
        <x:f>IF(OR(G64=0,J64=""),"",H64*J64)</x:f>
      </x:c>
      <x:c r="L64" s="103"/>
      <x:c r="M64" s="103"/>
      <x:c r="N64" s="103"/>
    </x:row>
    <x:row r="65">
      <x:c r="A65" s="132"/>
      <x:c r="B65" s="103"/>
      <x:c r="C65" s="103"/>
      <x:c r="D65" s="103" t="str">
        <x:f>IF(C65="","",IF(OR(C65="Biologia",C65="Quimica",C65="Fisica"),"Ciencias da Natureza",IF(C65="Humanas","Ciencias Humanas",C65)))</x:f>
      </x:c>
      <x:c r="E65" s="103"/>
      <x:c r="F65" s="103"/>
      <x:c r="G65" s="133"/>
      <x:c r="H65" s="133"/>
      <x:c r="I65" s="105" t="str">
        <x:f>IF(G65=0,"",H65/G65)</x:f>
      </x:c>
      <x:c r="J65" s="107" t="str">
        <x:f>IF(C65="","",IF(OR(C65="Biologia",C65="Quimica",C65="Fisica"),3,IF(OR(C65="Redacao",C65="Linguagens"),2,1.5)))</x:f>
      </x:c>
      <x:c r="K65" s="107" t="str">
        <x:f>IF(OR(G65=0,J65=""),"",H65*J65)</x:f>
      </x:c>
      <x:c r="L65" s="103"/>
      <x:c r="M65" s="103"/>
      <x:c r="N65" s="103"/>
    </x:row>
    <x:row r="66">
      <x:c r="A66" s="132"/>
      <x:c r="B66" s="103"/>
      <x:c r="C66" s="103"/>
      <x:c r="D66" s="103" t="str">
        <x:f>IF(C66="","",IF(OR(C66="Biologia",C66="Quimica",C66="Fisica"),"Ciencias da Natureza",IF(C66="Humanas","Ciencias Humanas",C66)))</x:f>
      </x:c>
      <x:c r="E66" s="103"/>
      <x:c r="F66" s="103"/>
      <x:c r="G66" s="133"/>
      <x:c r="H66" s="133"/>
      <x:c r="I66" s="105" t="str">
        <x:f>IF(G66=0,"",H66/G66)</x:f>
      </x:c>
      <x:c r="J66" s="107" t="str">
        <x:f>IF(C66="","",IF(OR(C66="Biologia",C66="Quimica",C66="Fisica"),3,IF(OR(C66="Redacao",C66="Linguagens"),2,1.5)))</x:f>
      </x:c>
      <x:c r="K66" s="107" t="str">
        <x:f>IF(OR(G66=0,J66=""),"",H66*J66)</x:f>
      </x:c>
      <x:c r="L66" s="103"/>
      <x:c r="M66" s="103"/>
      <x:c r="N66" s="103"/>
    </x:row>
    <x:row r="67">
      <x:c r="A67" s="132"/>
      <x:c r="B67" s="103"/>
      <x:c r="C67" s="103"/>
      <x:c r="D67" s="103" t="str">
        <x:f>IF(C67="","",IF(OR(C67="Biologia",C67="Quimica",C67="Fisica"),"Ciencias da Natureza",IF(C67="Humanas","Ciencias Humanas",C67)))</x:f>
      </x:c>
      <x:c r="E67" s="103"/>
      <x:c r="F67" s="103"/>
      <x:c r="G67" s="133"/>
      <x:c r="H67" s="133"/>
      <x:c r="I67" s="105" t="str">
        <x:f>IF(G67=0,"",H67/G67)</x:f>
      </x:c>
      <x:c r="J67" s="107" t="str">
        <x:f>IF(C67="","",IF(OR(C67="Biologia",C67="Quimica",C67="Fisica"),3,IF(OR(C67="Redacao",C67="Linguagens"),2,1.5)))</x:f>
      </x:c>
      <x:c r="K67" s="107" t="str">
        <x:f>IF(OR(G67=0,J67=""),"",H67*J67)</x:f>
      </x:c>
      <x:c r="L67" s="103"/>
      <x:c r="M67" s="103"/>
      <x:c r="N67" s="103"/>
    </x:row>
    <x:row r="68">
      <x:c r="A68" s="132"/>
      <x:c r="B68" s="103"/>
      <x:c r="C68" s="103"/>
      <x:c r="D68" s="103" t="str">
        <x:f>IF(C68="","",IF(OR(C68="Biologia",C68="Quimica",C68="Fisica"),"Ciencias da Natureza",IF(C68="Humanas","Ciencias Humanas",C68)))</x:f>
      </x:c>
      <x:c r="E68" s="103"/>
      <x:c r="F68" s="103"/>
      <x:c r="G68" s="133"/>
      <x:c r="H68" s="133"/>
      <x:c r="I68" s="105" t="str">
        <x:f>IF(G68=0,"",H68/G68)</x:f>
      </x:c>
      <x:c r="J68" s="107" t="str">
        <x:f>IF(C68="","",IF(OR(C68="Biologia",C68="Quimica",C68="Fisica"),3,IF(OR(C68="Redacao",C68="Linguagens"),2,1.5)))</x:f>
      </x:c>
      <x:c r="K68" s="107" t="str">
        <x:f>IF(OR(G68=0,J68=""),"",H68*J68)</x:f>
      </x:c>
      <x:c r="L68" s="103"/>
      <x:c r="M68" s="103"/>
      <x:c r="N68" s="103"/>
    </x:row>
    <x:row r="69">
      <x:c r="A69" s="132"/>
      <x:c r="B69" s="103"/>
      <x:c r="C69" s="103"/>
      <x:c r="D69" s="103" t="str">
        <x:f>IF(C69="","",IF(OR(C69="Biologia",C69="Quimica",C69="Fisica"),"Ciencias da Natureza",IF(C69="Humanas","Ciencias Humanas",C69)))</x:f>
      </x:c>
      <x:c r="E69" s="103"/>
      <x:c r="F69" s="103"/>
      <x:c r="G69" s="133"/>
      <x:c r="H69" s="133"/>
      <x:c r="I69" s="105" t="str">
        <x:f>IF(G69=0,"",H69/G69)</x:f>
      </x:c>
      <x:c r="J69" s="107" t="str">
        <x:f>IF(C69="","",IF(OR(C69="Biologia",C69="Quimica",C69="Fisica"),3,IF(OR(C69="Redacao",C69="Linguagens"),2,1.5)))</x:f>
      </x:c>
      <x:c r="K69" s="107" t="str">
        <x:f>IF(OR(G69=0,J69=""),"",H69*J69)</x:f>
      </x:c>
      <x:c r="L69" s="103"/>
      <x:c r="M69" s="103"/>
      <x:c r="N69" s="103"/>
    </x:row>
    <x:row r="70">
      <x:c r="A70" s="132"/>
      <x:c r="B70" s="103"/>
      <x:c r="C70" s="103"/>
      <x:c r="D70" s="103" t="str">
        <x:f>IF(C70="","",IF(OR(C70="Biologia",C70="Quimica",C70="Fisica"),"Ciencias da Natureza",IF(C70="Humanas","Ciencias Humanas",C70)))</x:f>
      </x:c>
      <x:c r="E70" s="103"/>
      <x:c r="F70" s="103"/>
      <x:c r="G70" s="133"/>
      <x:c r="H70" s="133"/>
      <x:c r="I70" s="105" t="str">
        <x:f>IF(G70=0,"",H70/G70)</x:f>
      </x:c>
      <x:c r="J70" s="107" t="str">
        <x:f>IF(C70="","",IF(OR(C70="Biologia",C70="Quimica",C70="Fisica"),3,IF(OR(C70="Redacao",C70="Linguagens"),2,1.5)))</x:f>
      </x:c>
      <x:c r="K70" s="107" t="str">
        <x:f>IF(OR(G70=0,J70=""),"",H70*J70)</x:f>
      </x:c>
      <x:c r="L70" s="103"/>
      <x:c r="M70" s="103"/>
      <x:c r="N70" s="103"/>
    </x:row>
    <x:row r="71">
      <x:c r="A71" s="132"/>
      <x:c r="B71" s="103"/>
      <x:c r="C71" s="103"/>
      <x:c r="D71" s="103" t="str">
        <x:f>IF(C71="","",IF(OR(C71="Biologia",C71="Quimica",C71="Fisica"),"Ciencias da Natureza",IF(C71="Humanas","Ciencias Humanas",C71)))</x:f>
      </x:c>
      <x:c r="E71" s="103"/>
      <x:c r="F71" s="103"/>
      <x:c r="G71" s="133"/>
      <x:c r="H71" s="133"/>
      <x:c r="I71" s="105" t="str">
        <x:f>IF(G71=0,"",H71/G71)</x:f>
      </x:c>
      <x:c r="J71" s="107" t="str">
        <x:f>IF(C71="","",IF(OR(C71="Biologia",C71="Quimica",C71="Fisica"),3,IF(OR(C71="Redacao",C71="Linguagens"),2,1.5)))</x:f>
      </x:c>
      <x:c r="K71" s="107" t="str">
        <x:f>IF(OR(G71=0,J71=""),"",H71*J71)</x:f>
      </x:c>
      <x:c r="L71" s="103"/>
      <x:c r="M71" s="103"/>
      <x:c r="N71" s="103"/>
    </x:row>
    <x:row r="72">
      <x:c r="A72" s="132"/>
      <x:c r="B72" s="103"/>
      <x:c r="C72" s="103"/>
      <x:c r="D72" s="103" t="str">
        <x:f>IF(C72="","",IF(OR(C72="Biologia",C72="Quimica",C72="Fisica"),"Ciencias da Natureza",IF(C72="Humanas","Ciencias Humanas",C72)))</x:f>
      </x:c>
      <x:c r="E72" s="103"/>
      <x:c r="F72" s="103"/>
      <x:c r="G72" s="133"/>
      <x:c r="H72" s="133"/>
      <x:c r="I72" s="105" t="str">
        <x:f>IF(G72=0,"",H72/G72)</x:f>
      </x:c>
      <x:c r="J72" s="107" t="str">
        <x:f>IF(C72="","",IF(OR(C72="Biologia",C72="Quimica",C72="Fisica"),3,IF(OR(C72="Redacao",C72="Linguagens"),2,1.5)))</x:f>
      </x:c>
      <x:c r="K72" s="107" t="str">
        <x:f>IF(OR(G72=0,J72=""),"",H72*J72)</x:f>
      </x:c>
      <x:c r="L72" s="103"/>
      <x:c r="M72" s="103"/>
      <x:c r="N72" s="103"/>
    </x:row>
    <x:row r="73">
      <x:c r="A73" s="132"/>
      <x:c r="B73" s="103"/>
      <x:c r="C73" s="103"/>
      <x:c r="D73" s="103" t="str">
        <x:f>IF(C73="","",IF(OR(C73="Biologia",C73="Quimica",C73="Fisica"),"Ciencias da Natureza",IF(C73="Humanas","Ciencias Humanas",C73)))</x:f>
      </x:c>
      <x:c r="E73" s="103"/>
      <x:c r="F73" s="103"/>
      <x:c r="G73" s="133"/>
      <x:c r="H73" s="133"/>
      <x:c r="I73" s="105" t="str">
        <x:f>IF(G73=0,"",H73/G73)</x:f>
      </x:c>
      <x:c r="J73" s="107" t="str">
        <x:f>IF(C73="","",IF(OR(C73="Biologia",C73="Quimica",C73="Fisica"),3,IF(OR(C73="Redacao",C73="Linguagens"),2,1.5)))</x:f>
      </x:c>
      <x:c r="K73" s="107" t="str">
        <x:f>IF(OR(G73=0,J73=""),"",H73*J73)</x:f>
      </x:c>
      <x:c r="L73" s="103"/>
      <x:c r="M73" s="103"/>
      <x:c r="N73" s="103"/>
    </x:row>
    <x:row r="74">
      <x:c r="A74" s="132"/>
      <x:c r="B74" s="103"/>
      <x:c r="C74" s="103"/>
      <x:c r="D74" s="103" t="str">
        <x:f>IF(C74="","",IF(OR(C74="Biologia",C74="Quimica",C74="Fisica"),"Ciencias da Natureza",IF(C74="Humanas","Ciencias Humanas",C74)))</x:f>
      </x:c>
      <x:c r="E74" s="103"/>
      <x:c r="F74" s="103"/>
      <x:c r="G74" s="133"/>
      <x:c r="H74" s="133"/>
      <x:c r="I74" s="105" t="str">
        <x:f>IF(G74=0,"",H74/G74)</x:f>
      </x:c>
      <x:c r="J74" s="107" t="str">
        <x:f>IF(C74="","",IF(OR(C74="Biologia",C74="Quimica",C74="Fisica"),3,IF(OR(C74="Redacao",C74="Linguagens"),2,1.5)))</x:f>
      </x:c>
      <x:c r="K74" s="107" t="str">
        <x:f>IF(OR(G74=0,J74=""),"",H74*J74)</x:f>
      </x:c>
      <x:c r="L74" s="103"/>
      <x:c r="M74" s="103"/>
      <x:c r="N74" s="103"/>
    </x:row>
    <x:row r="75">
      <x:c r="A75" s="132"/>
      <x:c r="B75" s="103"/>
      <x:c r="C75" s="103"/>
      <x:c r="D75" s="103" t="str">
        <x:f>IF(C75="","",IF(OR(C75="Biologia",C75="Quimica",C75="Fisica"),"Ciencias da Natureza",IF(C75="Humanas","Ciencias Humanas",C75)))</x:f>
      </x:c>
      <x:c r="E75" s="103"/>
      <x:c r="F75" s="103"/>
      <x:c r="G75" s="133"/>
      <x:c r="H75" s="133"/>
      <x:c r="I75" s="105" t="str">
        <x:f>IF(G75=0,"",H75/G75)</x:f>
      </x:c>
      <x:c r="J75" s="107" t="str">
        <x:f>IF(C75="","",IF(OR(C75="Biologia",C75="Quimica",C75="Fisica"),3,IF(OR(C75="Redacao",C75="Linguagens"),2,1.5)))</x:f>
      </x:c>
      <x:c r="K75" s="107" t="str">
        <x:f>IF(OR(G75=0,J75=""),"",H75*J75)</x:f>
      </x:c>
      <x:c r="L75" s="103"/>
      <x:c r="M75" s="103"/>
      <x:c r="N75" s="103"/>
    </x:row>
    <x:row r="76">
      <x:c r="A76" s="132"/>
      <x:c r="B76" s="103"/>
      <x:c r="C76" s="103"/>
      <x:c r="D76" s="103" t="str">
        <x:f>IF(C76="","",IF(OR(C76="Biologia",C76="Quimica",C76="Fisica"),"Ciencias da Natureza",IF(C76="Humanas","Ciencias Humanas",C76)))</x:f>
      </x:c>
      <x:c r="E76" s="103"/>
      <x:c r="F76" s="103"/>
      <x:c r="G76" s="133"/>
      <x:c r="H76" s="133"/>
      <x:c r="I76" s="105" t="str">
        <x:f>IF(G76=0,"",H76/G76)</x:f>
      </x:c>
      <x:c r="J76" s="107" t="str">
        <x:f>IF(C76="","",IF(OR(C76="Biologia",C76="Quimica",C76="Fisica"),3,IF(OR(C76="Redacao",C76="Linguagens"),2,1.5)))</x:f>
      </x:c>
      <x:c r="K76" s="107" t="str">
        <x:f>IF(OR(G76=0,J76=""),"",H76*J76)</x:f>
      </x:c>
      <x:c r="L76" s="103"/>
      <x:c r="M76" s="103"/>
      <x:c r="N76" s="103"/>
    </x:row>
    <x:row r="77">
      <x:c r="A77" s="132"/>
      <x:c r="B77" s="103"/>
      <x:c r="C77" s="103"/>
      <x:c r="D77" s="103" t="str">
        <x:f>IF(C77="","",IF(OR(C77="Biologia",C77="Quimica",C77="Fisica"),"Ciencias da Natureza",IF(C77="Humanas","Ciencias Humanas",C77)))</x:f>
      </x:c>
      <x:c r="E77" s="103"/>
      <x:c r="F77" s="103"/>
      <x:c r="G77" s="133"/>
      <x:c r="H77" s="133"/>
      <x:c r="I77" s="105" t="str">
        <x:f>IF(G77=0,"",H77/G77)</x:f>
      </x:c>
      <x:c r="J77" s="107" t="str">
        <x:f>IF(C77="","",IF(OR(C77="Biologia",C77="Quimica",C77="Fisica"),3,IF(OR(C77="Redacao",C77="Linguagens"),2,1.5)))</x:f>
      </x:c>
      <x:c r="K77" s="107" t="str">
        <x:f>IF(OR(G77=0,J77=""),"",H77*J77)</x:f>
      </x:c>
      <x:c r="L77" s="103"/>
      <x:c r="M77" s="103"/>
      <x:c r="N77" s="103"/>
    </x:row>
    <x:row r="78">
      <x:c r="A78" s="132"/>
      <x:c r="B78" s="103"/>
      <x:c r="C78" s="103"/>
      <x:c r="D78" s="103" t="str">
        <x:f>IF(C78="","",IF(OR(C78="Biologia",C78="Quimica",C78="Fisica"),"Ciencias da Natureza",IF(C78="Humanas","Ciencias Humanas",C78)))</x:f>
      </x:c>
      <x:c r="E78" s="103"/>
      <x:c r="F78" s="103"/>
      <x:c r="G78" s="133"/>
      <x:c r="H78" s="133"/>
      <x:c r="I78" s="105" t="str">
        <x:f>IF(G78=0,"",H78/G78)</x:f>
      </x:c>
      <x:c r="J78" s="107" t="str">
        <x:f>IF(C78="","",IF(OR(C78="Biologia",C78="Quimica",C78="Fisica"),3,IF(OR(C78="Redacao",C78="Linguagens"),2,1.5)))</x:f>
      </x:c>
      <x:c r="K78" s="107" t="str">
        <x:f>IF(OR(G78=0,J78=""),"",H78*J78)</x:f>
      </x:c>
      <x:c r="L78" s="103"/>
      <x:c r="M78" s="103"/>
      <x:c r="N78" s="103"/>
    </x:row>
    <x:row r="79">
      <x:c r="A79" s="132"/>
      <x:c r="B79" s="103"/>
      <x:c r="C79" s="103"/>
      <x:c r="D79" s="103" t="str">
        <x:f>IF(C79="","",IF(OR(C79="Biologia",C79="Quimica",C79="Fisica"),"Ciencias da Natureza",IF(C79="Humanas","Ciencias Humanas",C79)))</x:f>
      </x:c>
      <x:c r="E79" s="103"/>
      <x:c r="F79" s="103"/>
      <x:c r="G79" s="133"/>
      <x:c r="H79" s="133"/>
      <x:c r="I79" s="105" t="str">
        <x:f>IF(G79=0,"",H79/G79)</x:f>
      </x:c>
      <x:c r="J79" s="107" t="str">
        <x:f>IF(C79="","",IF(OR(C79="Biologia",C79="Quimica",C79="Fisica"),3,IF(OR(C79="Redacao",C79="Linguagens"),2,1.5)))</x:f>
      </x:c>
      <x:c r="K79" s="107" t="str">
        <x:f>IF(OR(G79=0,J79=""),"",H79*J79)</x:f>
      </x:c>
      <x:c r="L79" s="103"/>
      <x:c r="M79" s="103"/>
      <x:c r="N79" s="103"/>
    </x:row>
    <x:row r="80">
      <x:c r="A80" s="132"/>
      <x:c r="B80" s="103"/>
      <x:c r="C80" s="103"/>
      <x:c r="D80" s="103" t="str">
        <x:f>IF(C80="","",IF(OR(C80="Biologia",C80="Quimica",C80="Fisica"),"Ciencias da Natureza",IF(C80="Humanas","Ciencias Humanas",C80)))</x:f>
      </x:c>
      <x:c r="E80" s="103"/>
      <x:c r="F80" s="103"/>
      <x:c r="G80" s="133"/>
      <x:c r="H80" s="133"/>
      <x:c r="I80" s="105" t="str">
        <x:f>IF(G80=0,"",H80/G80)</x:f>
      </x:c>
      <x:c r="J80" s="107" t="str">
        <x:f>IF(C80="","",IF(OR(C80="Biologia",C80="Quimica",C80="Fisica"),3,IF(OR(C80="Redacao",C80="Linguagens"),2,1.5)))</x:f>
      </x:c>
      <x:c r="K80" s="107" t="str">
        <x:f>IF(OR(G80=0,J80=""),"",H80*J80)</x:f>
      </x:c>
      <x:c r="L80" s="103"/>
      <x:c r="M80" s="103"/>
      <x:c r="N80" s="103"/>
    </x:row>
    <x:row r="81">
      <x:c r="A81" s="132"/>
      <x:c r="B81" s="103"/>
      <x:c r="C81" s="103"/>
      <x:c r="D81" s="103" t="str">
        <x:f>IF(C81="","",IF(OR(C81="Biologia",C81="Quimica",C81="Fisica"),"Ciencias da Natureza",IF(C81="Humanas","Ciencias Humanas",C81)))</x:f>
      </x:c>
      <x:c r="E81" s="103"/>
      <x:c r="F81" s="103"/>
      <x:c r="G81" s="133"/>
      <x:c r="H81" s="133"/>
      <x:c r="I81" s="105" t="str">
        <x:f>IF(G81=0,"",H81/G81)</x:f>
      </x:c>
      <x:c r="J81" s="107" t="str">
        <x:f>IF(C81="","",IF(OR(C81="Biologia",C81="Quimica",C81="Fisica"),3,IF(OR(C81="Redacao",C81="Linguagens"),2,1.5)))</x:f>
      </x:c>
      <x:c r="K81" s="107" t="str">
        <x:f>IF(OR(G81=0,J81=""),"",H81*J81)</x:f>
      </x:c>
      <x:c r="L81" s="103"/>
      <x:c r="M81" s="103"/>
      <x:c r="N81" s="103"/>
    </x:row>
    <x:row r="82">
      <x:c r="A82" s="132"/>
      <x:c r="B82" s="103"/>
      <x:c r="C82" s="103"/>
      <x:c r="D82" s="103" t="str">
        <x:f>IF(C82="","",IF(OR(C82="Biologia",C82="Quimica",C82="Fisica"),"Ciencias da Natureza",IF(C82="Humanas","Ciencias Humanas",C82)))</x:f>
      </x:c>
      <x:c r="E82" s="103"/>
      <x:c r="F82" s="103"/>
      <x:c r="G82" s="133"/>
      <x:c r="H82" s="133"/>
      <x:c r="I82" s="105" t="str">
        <x:f>IF(G82=0,"",H82/G82)</x:f>
      </x:c>
      <x:c r="J82" s="107" t="str">
        <x:f>IF(C82="","",IF(OR(C82="Biologia",C82="Quimica",C82="Fisica"),3,IF(OR(C82="Redacao",C82="Linguagens"),2,1.5)))</x:f>
      </x:c>
      <x:c r="K82" s="107" t="str">
        <x:f>IF(OR(G82=0,J82=""),"",H82*J82)</x:f>
      </x:c>
      <x:c r="L82" s="103"/>
      <x:c r="M82" s="103"/>
      <x:c r="N82" s="103"/>
    </x:row>
    <x:row r="83">
      <x:c r="A83" s="132"/>
      <x:c r="B83" s="103"/>
      <x:c r="C83" s="103"/>
      <x:c r="D83" s="103" t="str">
        <x:f>IF(C83="","",IF(OR(C83="Biologia",C83="Quimica",C83="Fisica"),"Ciencias da Natureza",IF(C83="Humanas","Ciencias Humanas",C83)))</x:f>
      </x:c>
      <x:c r="E83" s="103"/>
      <x:c r="F83" s="103"/>
      <x:c r="G83" s="133"/>
      <x:c r="H83" s="133"/>
      <x:c r="I83" s="105" t="str">
        <x:f>IF(G83=0,"",H83/G83)</x:f>
      </x:c>
      <x:c r="J83" s="107" t="str">
        <x:f>IF(C83="","",IF(OR(C83="Biologia",C83="Quimica",C83="Fisica"),3,IF(OR(C83="Redacao",C83="Linguagens"),2,1.5)))</x:f>
      </x:c>
      <x:c r="K83" s="107" t="str">
        <x:f>IF(OR(G83=0,J83=""),"",H83*J83)</x:f>
      </x:c>
      <x:c r="L83" s="103"/>
      <x:c r="M83" s="103"/>
      <x:c r="N83" s="103"/>
    </x:row>
    <x:row r="84">
      <x:c r="A84" s="132"/>
      <x:c r="B84" s="103"/>
      <x:c r="C84" s="103"/>
      <x:c r="D84" s="103" t="str">
        <x:f>IF(C84="","",IF(OR(C84="Biologia",C84="Quimica",C84="Fisica"),"Ciencias da Natureza",IF(C84="Humanas","Ciencias Humanas",C84)))</x:f>
      </x:c>
      <x:c r="E84" s="103"/>
      <x:c r="F84" s="103"/>
      <x:c r="G84" s="133"/>
      <x:c r="H84" s="133"/>
      <x:c r="I84" s="105" t="str">
        <x:f>IF(G84=0,"",H84/G84)</x:f>
      </x:c>
      <x:c r="J84" s="107" t="str">
        <x:f>IF(C84="","",IF(OR(C84="Biologia",C84="Quimica",C84="Fisica"),3,IF(OR(C84="Redacao",C84="Linguagens"),2,1.5)))</x:f>
      </x:c>
      <x:c r="K84" s="107" t="str">
        <x:f>IF(OR(G84=0,J84=""),"",H84*J84)</x:f>
      </x:c>
      <x:c r="L84" s="103"/>
      <x:c r="M84" s="103"/>
      <x:c r="N84" s="103"/>
    </x:row>
    <x:row r="85">
      <x:c r="A85" s="132"/>
      <x:c r="B85" s="103"/>
      <x:c r="C85" s="103"/>
      <x:c r="D85" s="103" t="str">
        <x:f>IF(C85="","",IF(OR(C85="Biologia",C85="Quimica",C85="Fisica"),"Ciencias da Natureza",IF(C85="Humanas","Ciencias Humanas",C85)))</x:f>
      </x:c>
      <x:c r="E85" s="103"/>
      <x:c r="F85" s="103"/>
      <x:c r="G85" s="133"/>
      <x:c r="H85" s="133"/>
      <x:c r="I85" s="105" t="str">
        <x:f>IF(G85=0,"",H85/G85)</x:f>
      </x:c>
      <x:c r="J85" s="107" t="str">
        <x:f>IF(C85="","",IF(OR(C85="Biologia",C85="Quimica",C85="Fisica"),3,IF(OR(C85="Redacao",C85="Linguagens"),2,1.5)))</x:f>
      </x:c>
      <x:c r="K85" s="107" t="str">
        <x:f>IF(OR(G85=0,J85=""),"",H85*J85)</x:f>
      </x:c>
      <x:c r="L85" s="103"/>
      <x:c r="M85" s="103"/>
      <x:c r="N85" s="103"/>
    </x:row>
    <x:row r="86">
      <x:c r="A86" s="132"/>
      <x:c r="B86" s="103"/>
      <x:c r="C86" s="103"/>
      <x:c r="D86" s="103" t="str">
        <x:f>IF(C86="","",IF(OR(C86="Biologia",C86="Quimica",C86="Fisica"),"Ciencias da Natureza",IF(C86="Humanas","Ciencias Humanas",C86)))</x:f>
      </x:c>
      <x:c r="E86" s="103"/>
      <x:c r="F86" s="103"/>
      <x:c r="G86" s="133"/>
      <x:c r="H86" s="133"/>
      <x:c r="I86" s="105" t="str">
        <x:f>IF(G86=0,"",H86/G86)</x:f>
      </x:c>
      <x:c r="J86" s="107" t="str">
        <x:f>IF(C86="","",IF(OR(C86="Biologia",C86="Quimica",C86="Fisica"),3,IF(OR(C86="Redacao",C86="Linguagens"),2,1.5)))</x:f>
      </x:c>
      <x:c r="K86" s="107" t="str">
        <x:f>IF(OR(G86=0,J86=""),"",H86*J86)</x:f>
      </x:c>
      <x:c r="L86" s="103"/>
      <x:c r="M86" s="103"/>
      <x:c r="N86" s="103"/>
    </x:row>
    <x:row r="87">
      <x:c r="A87" s="132"/>
      <x:c r="B87" s="103"/>
      <x:c r="C87" s="103"/>
      <x:c r="D87" s="103" t="str">
        <x:f>IF(C87="","",IF(OR(C87="Biologia",C87="Quimica",C87="Fisica"),"Ciencias da Natureza",IF(C87="Humanas","Ciencias Humanas",C87)))</x:f>
      </x:c>
      <x:c r="E87" s="103"/>
      <x:c r="F87" s="103"/>
      <x:c r="G87" s="133"/>
      <x:c r="H87" s="133"/>
      <x:c r="I87" s="105" t="str">
        <x:f>IF(G87=0,"",H87/G87)</x:f>
      </x:c>
      <x:c r="J87" s="107" t="str">
        <x:f>IF(C87="","",IF(OR(C87="Biologia",C87="Quimica",C87="Fisica"),3,IF(OR(C87="Redacao",C87="Linguagens"),2,1.5)))</x:f>
      </x:c>
      <x:c r="K87" s="107" t="str">
        <x:f>IF(OR(G87=0,J87=""),"",H87*J87)</x:f>
      </x:c>
      <x:c r="L87" s="103"/>
      <x:c r="M87" s="103"/>
      <x:c r="N87" s="103"/>
    </x:row>
    <x:row r="88">
      <x:c r="A88" s="132"/>
      <x:c r="B88" s="103"/>
      <x:c r="C88" s="103"/>
      <x:c r="D88" s="103" t="str">
        <x:f>IF(C88="","",IF(OR(C88="Biologia",C88="Quimica",C88="Fisica"),"Ciencias da Natureza",IF(C88="Humanas","Ciencias Humanas",C88)))</x:f>
      </x:c>
      <x:c r="E88" s="103"/>
      <x:c r="F88" s="103"/>
      <x:c r="G88" s="133"/>
      <x:c r="H88" s="133"/>
      <x:c r="I88" s="105" t="str">
        <x:f>IF(G88=0,"",H88/G88)</x:f>
      </x:c>
      <x:c r="J88" s="107" t="str">
        <x:f>IF(C88="","",IF(OR(C88="Biologia",C88="Quimica",C88="Fisica"),3,IF(OR(C88="Redacao",C88="Linguagens"),2,1.5)))</x:f>
      </x:c>
      <x:c r="K88" s="107" t="str">
        <x:f>IF(OR(G88=0,J88=""),"",H88*J88)</x:f>
      </x:c>
      <x:c r="L88" s="103"/>
      <x:c r="M88" s="103"/>
      <x:c r="N88" s="103"/>
    </x:row>
    <x:row r="89">
      <x:c r="A89" s="132"/>
      <x:c r="B89" s="103"/>
      <x:c r="C89" s="103"/>
      <x:c r="D89" s="103" t="str">
        <x:f>IF(C89="","",IF(OR(C89="Biologia",C89="Quimica",C89="Fisica"),"Ciencias da Natureza",IF(C89="Humanas","Ciencias Humanas",C89)))</x:f>
      </x:c>
      <x:c r="E89" s="103"/>
      <x:c r="F89" s="103"/>
      <x:c r="G89" s="133"/>
      <x:c r="H89" s="133"/>
      <x:c r="I89" s="105" t="str">
        <x:f>IF(G89=0,"",H89/G89)</x:f>
      </x:c>
      <x:c r="J89" s="107" t="str">
        <x:f>IF(C89="","",IF(OR(C89="Biologia",C89="Quimica",C89="Fisica"),3,IF(OR(C89="Redacao",C89="Linguagens"),2,1.5)))</x:f>
      </x:c>
      <x:c r="K89" s="107" t="str">
        <x:f>IF(OR(G89=0,J89=""),"",H89*J89)</x:f>
      </x:c>
      <x:c r="L89" s="103"/>
      <x:c r="M89" s="103"/>
      <x:c r="N89" s="103"/>
    </x:row>
    <x:row r="90">
      <x:c r="A90" s="132"/>
      <x:c r="B90" s="103"/>
      <x:c r="C90" s="103"/>
      <x:c r="D90" s="103" t="str">
        <x:f>IF(C90="","",IF(OR(C90="Biologia",C90="Quimica",C90="Fisica"),"Ciencias da Natureza",IF(C90="Humanas","Ciencias Humanas",C90)))</x:f>
      </x:c>
      <x:c r="E90" s="103"/>
      <x:c r="F90" s="103"/>
      <x:c r="G90" s="133"/>
      <x:c r="H90" s="133"/>
      <x:c r="I90" s="105" t="str">
        <x:f>IF(G90=0,"",H90/G90)</x:f>
      </x:c>
      <x:c r="J90" s="107" t="str">
        <x:f>IF(C90="","",IF(OR(C90="Biologia",C90="Quimica",C90="Fisica"),3,IF(OR(C90="Redacao",C90="Linguagens"),2,1.5)))</x:f>
      </x:c>
      <x:c r="K90" s="107" t="str">
        <x:f>IF(OR(G90=0,J90=""),"",H90*J90)</x:f>
      </x:c>
      <x:c r="L90" s="103"/>
      <x:c r="M90" s="103"/>
      <x:c r="N90" s="103"/>
    </x:row>
    <x:row r="91">
      <x:c r="A91" s="132"/>
      <x:c r="B91" s="103"/>
      <x:c r="C91" s="103"/>
      <x:c r="D91" s="103" t="str">
        <x:f>IF(C91="","",IF(OR(C91="Biologia",C91="Quimica",C91="Fisica"),"Ciencias da Natureza",IF(C91="Humanas","Ciencias Humanas",C91)))</x:f>
      </x:c>
      <x:c r="E91" s="103"/>
      <x:c r="F91" s="103"/>
      <x:c r="G91" s="133"/>
      <x:c r="H91" s="133"/>
      <x:c r="I91" s="105" t="str">
        <x:f>IF(G91=0,"",H91/G91)</x:f>
      </x:c>
      <x:c r="J91" s="107" t="str">
        <x:f>IF(C91="","",IF(OR(C91="Biologia",C91="Quimica",C91="Fisica"),3,IF(OR(C91="Redacao",C91="Linguagens"),2,1.5)))</x:f>
      </x:c>
      <x:c r="K91" s="107" t="str">
        <x:f>IF(OR(G91=0,J91=""),"",H91*J91)</x:f>
      </x:c>
      <x:c r="L91" s="103"/>
      <x:c r="M91" s="103"/>
      <x:c r="N91" s="103"/>
    </x:row>
    <x:row r="92">
      <x:c r="A92" s="132"/>
      <x:c r="B92" s="103"/>
      <x:c r="C92" s="103"/>
      <x:c r="D92" s="103" t="str">
        <x:f>IF(C92="","",IF(OR(C92="Biologia",C92="Quimica",C92="Fisica"),"Ciencias da Natureza",IF(C92="Humanas","Ciencias Humanas",C92)))</x:f>
      </x:c>
      <x:c r="E92" s="103"/>
      <x:c r="F92" s="103"/>
      <x:c r="G92" s="133"/>
      <x:c r="H92" s="133"/>
      <x:c r="I92" s="105" t="str">
        <x:f>IF(G92=0,"",H92/G92)</x:f>
      </x:c>
      <x:c r="J92" s="107" t="str">
        <x:f>IF(C92="","",IF(OR(C92="Biologia",C92="Quimica",C92="Fisica"),3,IF(OR(C92="Redacao",C92="Linguagens"),2,1.5)))</x:f>
      </x:c>
      <x:c r="K92" s="107" t="str">
        <x:f>IF(OR(G92=0,J92=""),"",H92*J92)</x:f>
      </x:c>
      <x:c r="L92" s="103"/>
      <x:c r="M92" s="103"/>
      <x:c r="N92" s="103"/>
    </x:row>
    <x:row r="93">
      <x:c r="A93" s="132"/>
      <x:c r="B93" s="103"/>
      <x:c r="C93" s="103"/>
      <x:c r="D93" s="103" t="str">
        <x:f>IF(C93="","",IF(OR(C93="Biologia",C93="Quimica",C93="Fisica"),"Ciencias da Natureza",IF(C93="Humanas","Ciencias Humanas",C93)))</x:f>
      </x:c>
      <x:c r="E93" s="103"/>
      <x:c r="F93" s="103"/>
      <x:c r="G93" s="133"/>
      <x:c r="H93" s="133"/>
      <x:c r="I93" s="105" t="str">
        <x:f>IF(G93=0,"",H93/G93)</x:f>
      </x:c>
      <x:c r="J93" s="107" t="str">
        <x:f>IF(C93="","",IF(OR(C93="Biologia",C93="Quimica",C93="Fisica"),3,IF(OR(C93="Redacao",C93="Linguagens"),2,1.5)))</x:f>
      </x:c>
      <x:c r="K93" s="107" t="str">
        <x:f>IF(OR(G93=0,J93=""),"",H93*J93)</x:f>
      </x:c>
      <x:c r="L93" s="103"/>
      <x:c r="M93" s="103"/>
      <x:c r="N93" s="103"/>
    </x:row>
    <x:row r="94">
      <x:c r="A94" s="132"/>
      <x:c r="B94" s="103"/>
      <x:c r="C94" s="103"/>
      <x:c r="D94" s="103" t="str">
        <x:f>IF(C94="","",IF(OR(C94="Biologia",C94="Quimica",C94="Fisica"),"Ciencias da Natureza",IF(C94="Humanas","Ciencias Humanas",C94)))</x:f>
      </x:c>
      <x:c r="E94" s="103"/>
      <x:c r="F94" s="103"/>
      <x:c r="G94" s="133"/>
      <x:c r="H94" s="133"/>
      <x:c r="I94" s="105" t="str">
        <x:f>IF(G94=0,"",H94/G94)</x:f>
      </x:c>
      <x:c r="J94" s="107" t="str">
        <x:f>IF(C94="","",IF(OR(C94="Biologia",C94="Quimica",C94="Fisica"),3,IF(OR(C94="Redacao",C94="Linguagens"),2,1.5)))</x:f>
      </x:c>
      <x:c r="K94" s="107" t="str">
        <x:f>IF(OR(G94=0,J94=""),"",H94*J94)</x:f>
      </x:c>
      <x:c r="L94" s="103"/>
      <x:c r="M94" s="103"/>
      <x:c r="N94" s="103"/>
    </x:row>
    <x:row r="95">
      <x:c r="A95" s="132"/>
      <x:c r="B95" s="103"/>
      <x:c r="C95" s="103"/>
      <x:c r="D95" s="103" t="str">
        <x:f>IF(C95="","",IF(OR(C95="Biologia",C95="Quimica",C95="Fisica"),"Ciencias da Natureza",IF(C95="Humanas","Ciencias Humanas",C95)))</x:f>
      </x:c>
      <x:c r="E95" s="103"/>
      <x:c r="F95" s="103"/>
      <x:c r="G95" s="133"/>
      <x:c r="H95" s="133"/>
      <x:c r="I95" s="105" t="str">
        <x:f>IF(G95=0,"",H95/G95)</x:f>
      </x:c>
      <x:c r="J95" s="107" t="str">
        <x:f>IF(C95="","",IF(OR(C95="Biologia",C95="Quimica",C95="Fisica"),3,IF(OR(C95="Redacao",C95="Linguagens"),2,1.5)))</x:f>
      </x:c>
      <x:c r="K95" s="107" t="str">
        <x:f>IF(OR(G95=0,J95=""),"",H95*J95)</x:f>
      </x:c>
      <x:c r="L95" s="103"/>
      <x:c r="M95" s="103"/>
      <x:c r="N95" s="103"/>
    </x:row>
    <x:row r="96">
      <x:c r="A96" s="132"/>
      <x:c r="B96" s="103"/>
      <x:c r="C96" s="103"/>
      <x:c r="D96" s="103" t="str">
        <x:f>IF(C96="","",IF(OR(C96="Biologia",C96="Quimica",C96="Fisica"),"Ciencias da Natureza",IF(C96="Humanas","Ciencias Humanas",C96)))</x:f>
      </x:c>
      <x:c r="E96" s="103"/>
      <x:c r="F96" s="103"/>
      <x:c r="G96" s="133"/>
      <x:c r="H96" s="133"/>
      <x:c r="I96" s="105" t="str">
        <x:f>IF(G96=0,"",H96/G96)</x:f>
      </x:c>
      <x:c r="J96" s="107" t="str">
        <x:f>IF(C96="","",IF(OR(C96="Biologia",C96="Quimica",C96="Fisica"),3,IF(OR(C96="Redacao",C96="Linguagens"),2,1.5)))</x:f>
      </x:c>
      <x:c r="K96" s="107" t="str">
        <x:f>IF(OR(G96=0,J96=""),"",H96*J96)</x:f>
      </x:c>
      <x:c r="L96" s="103"/>
      <x:c r="M96" s="103"/>
      <x:c r="N96" s="103"/>
    </x:row>
    <x:row r="97">
      <x:c r="A97" s="132"/>
      <x:c r="B97" s="103"/>
      <x:c r="C97" s="103"/>
      <x:c r="D97" s="103" t="str">
        <x:f>IF(C97="","",IF(OR(C97="Biologia",C97="Quimica",C97="Fisica"),"Ciencias da Natureza",IF(C97="Humanas","Ciencias Humanas",C97)))</x:f>
      </x:c>
      <x:c r="E97" s="103"/>
      <x:c r="F97" s="103"/>
      <x:c r="G97" s="133"/>
      <x:c r="H97" s="133"/>
      <x:c r="I97" s="105" t="str">
        <x:f>IF(G97=0,"",H97/G97)</x:f>
      </x:c>
      <x:c r="J97" s="107" t="str">
        <x:f>IF(C97="","",IF(OR(C97="Biologia",C97="Quimica",C97="Fisica"),3,IF(OR(C97="Redacao",C97="Linguagens"),2,1.5)))</x:f>
      </x:c>
      <x:c r="K97" s="107" t="str">
        <x:f>IF(OR(G97=0,J97=""),"",H97*J97)</x:f>
      </x:c>
      <x:c r="L97" s="103"/>
      <x:c r="M97" s="103"/>
      <x:c r="N97" s="103"/>
    </x:row>
    <x:row r="98">
      <x:c r="A98" s="132"/>
      <x:c r="B98" s="103"/>
      <x:c r="C98" s="103"/>
      <x:c r="D98" s="103" t="str">
        <x:f>IF(C98="","",IF(OR(C98="Biologia",C98="Quimica",C98="Fisica"),"Ciencias da Natureza",IF(C98="Humanas","Ciencias Humanas",C98)))</x:f>
      </x:c>
      <x:c r="E98" s="103"/>
      <x:c r="F98" s="103"/>
      <x:c r="G98" s="133"/>
      <x:c r="H98" s="133"/>
      <x:c r="I98" s="105" t="str">
        <x:f>IF(G98=0,"",H98/G98)</x:f>
      </x:c>
      <x:c r="J98" s="107" t="str">
        <x:f>IF(C98="","",IF(OR(C98="Biologia",C98="Quimica",C98="Fisica"),3,IF(OR(C98="Redacao",C98="Linguagens"),2,1.5)))</x:f>
      </x:c>
      <x:c r="K98" s="107" t="str">
        <x:f>IF(OR(G98=0,J98=""),"",H98*J98)</x:f>
      </x:c>
      <x:c r="L98" s="103"/>
      <x:c r="M98" s="103"/>
      <x:c r="N98" s="103"/>
    </x:row>
    <x:row r="99">
      <x:c r="A99" s="132"/>
      <x:c r="B99" s="103"/>
      <x:c r="C99" s="103"/>
      <x:c r="D99" s="103" t="str">
        <x:f>IF(C99="","",IF(OR(C99="Biologia",C99="Quimica",C99="Fisica"),"Ciencias da Natureza",IF(C99="Humanas","Ciencias Humanas",C99)))</x:f>
      </x:c>
      <x:c r="E99" s="103"/>
      <x:c r="F99" s="103"/>
      <x:c r="G99" s="133"/>
      <x:c r="H99" s="133"/>
      <x:c r="I99" s="105" t="str">
        <x:f>IF(G99=0,"",H99/G99)</x:f>
      </x:c>
      <x:c r="J99" s="107" t="str">
        <x:f>IF(C99="","",IF(OR(C99="Biologia",C99="Quimica",C99="Fisica"),3,IF(OR(C99="Redacao",C99="Linguagens"),2,1.5)))</x:f>
      </x:c>
      <x:c r="K99" s="107" t="str">
        <x:f>IF(OR(G99=0,J99=""),"",H99*J99)</x:f>
      </x:c>
      <x:c r="L99" s="103"/>
      <x:c r="M99" s="103"/>
      <x:c r="N99" s="103"/>
    </x:row>
    <x:row r="100">
      <x:c r="A100" s="132"/>
      <x:c r="B100" s="103"/>
      <x:c r="C100" s="103"/>
      <x:c r="D100" s="103" t="str">
        <x:f>IF(C100="","",IF(OR(C100="Biologia",C100="Quimica",C100="Fisica"),"Ciencias da Natureza",IF(C100="Humanas","Ciencias Humanas",C100)))</x:f>
      </x:c>
      <x:c r="E100" s="103"/>
      <x:c r="F100" s="103"/>
      <x:c r="G100" s="133"/>
      <x:c r="H100" s="133"/>
      <x:c r="I100" s="105" t="str">
        <x:f>IF(G100=0,"",H100/G100)</x:f>
      </x:c>
      <x:c r="J100" s="107" t="str">
        <x:f>IF(C100="","",IF(OR(C100="Biologia",C100="Quimica",C100="Fisica"),3,IF(OR(C100="Redacao",C100="Linguagens"),2,1.5)))</x:f>
      </x:c>
      <x:c r="K100" s="107" t="str">
        <x:f>IF(OR(G100=0,J100=""),"",H100*J100)</x:f>
      </x:c>
      <x:c r="L100" s="103"/>
      <x:c r="M100" s="103"/>
      <x:c r="N100" s="103"/>
    </x:row>
    <x:row r="101">
      <x:c r="A101" s="132"/>
      <x:c r="B101" s="103"/>
      <x:c r="C101" s="103"/>
      <x:c r="D101" s="103" t="str">
        <x:f>IF(C101="","",IF(OR(C101="Biologia",C101="Quimica",C101="Fisica"),"Ciencias da Natureza",IF(C101="Humanas","Ciencias Humanas",C101)))</x:f>
      </x:c>
      <x:c r="E101" s="103"/>
      <x:c r="F101" s="103"/>
      <x:c r="G101" s="133"/>
      <x:c r="H101" s="133"/>
      <x:c r="I101" s="105" t="str">
        <x:f>IF(G101=0,"",H101/G101)</x:f>
      </x:c>
      <x:c r="J101" s="107" t="str">
        <x:f>IF(C101="","",IF(OR(C101="Biologia",C101="Quimica",C101="Fisica"),3,IF(OR(C101="Redacao",C101="Linguagens"),2,1.5)))</x:f>
      </x:c>
      <x:c r="K101" s="107" t="str">
        <x:f>IF(OR(G101=0,J101=""),"",H101*J101)</x:f>
      </x:c>
      <x:c r="L101" s="103"/>
      <x:c r="M101" s="103"/>
      <x:c r="N101" s="103"/>
    </x:row>
    <x:row r="102">
      <x:c r="A102" s="132"/>
      <x:c r="B102" s="103"/>
      <x:c r="C102" s="103"/>
      <x:c r="D102" s="103" t="str">
        <x:f>IF(C102="","",IF(OR(C102="Biologia",C102="Quimica",C102="Fisica"),"Ciencias da Natureza",IF(C102="Humanas","Ciencias Humanas",C102)))</x:f>
      </x:c>
      <x:c r="E102" s="103"/>
      <x:c r="F102" s="103"/>
      <x:c r="G102" s="133"/>
      <x:c r="H102" s="133"/>
      <x:c r="I102" s="105" t="str">
        <x:f>IF(G102=0,"",H102/G102)</x:f>
      </x:c>
      <x:c r="J102" s="107" t="str">
        <x:f>IF(C102="","",IF(OR(C102="Biologia",C102="Quimica",C102="Fisica"),3,IF(OR(C102="Redacao",C102="Linguagens"),2,1.5)))</x:f>
      </x:c>
      <x:c r="K102" s="107" t="str">
        <x:f>IF(OR(G102=0,J102=""),"",H102*J102)</x:f>
      </x:c>
      <x:c r="L102" s="103"/>
      <x:c r="M102" s="103"/>
      <x:c r="N102" s="103"/>
    </x:row>
    <x:row r="103">
      <x:c r="A103" s="132"/>
      <x:c r="B103" s="103"/>
      <x:c r="C103" s="103"/>
      <x:c r="D103" s="103" t="str">
        <x:f>IF(C103="","",IF(OR(C103="Biologia",C103="Quimica",C103="Fisica"),"Ciencias da Natureza",IF(C103="Humanas","Ciencias Humanas",C103)))</x:f>
      </x:c>
      <x:c r="E103" s="103"/>
      <x:c r="F103" s="103"/>
      <x:c r="G103" s="133"/>
      <x:c r="H103" s="133"/>
      <x:c r="I103" s="105" t="str">
        <x:f>IF(G103=0,"",H103/G103)</x:f>
      </x:c>
      <x:c r="J103" s="107" t="str">
        <x:f>IF(C103="","",IF(OR(C103="Biologia",C103="Quimica",C103="Fisica"),3,IF(OR(C103="Redacao",C103="Linguagens"),2,1.5)))</x:f>
      </x:c>
      <x:c r="K103" s="107" t="str">
        <x:f>IF(OR(G103=0,J103=""),"",H103*J103)</x:f>
      </x:c>
      <x:c r="L103" s="103"/>
      <x:c r="M103" s="103"/>
      <x:c r="N103" s="103"/>
    </x:row>
    <x:row r="104">
      <x:c r="A104" s="132"/>
      <x:c r="B104" s="103"/>
      <x:c r="C104" s="103"/>
      <x:c r="D104" s="103" t="str">
        <x:f>IF(C104="","",IF(OR(C104="Biologia",C104="Quimica",C104="Fisica"),"Ciencias da Natureza",IF(C104="Humanas","Ciencias Humanas",C104)))</x:f>
      </x:c>
      <x:c r="E104" s="103"/>
      <x:c r="F104" s="103"/>
      <x:c r="G104" s="133"/>
      <x:c r="H104" s="133"/>
      <x:c r="I104" s="105" t="str">
        <x:f>IF(G104=0,"",H104/G104)</x:f>
      </x:c>
      <x:c r="J104" s="107" t="str">
        <x:f>IF(C104="","",IF(OR(C104="Biologia",C104="Quimica",C104="Fisica"),3,IF(OR(C104="Redacao",C104="Linguagens"),2,1.5)))</x:f>
      </x:c>
      <x:c r="K104" s="107" t="str">
        <x:f>IF(OR(G104=0,J104=""),"",H104*J104)</x:f>
      </x:c>
      <x:c r="L104" s="103"/>
      <x:c r="M104" s="103"/>
      <x:c r="N104" s="103"/>
    </x:row>
    <x:row r="105">
      <x:c r="A105" s="132"/>
      <x:c r="B105" s="103"/>
      <x:c r="C105" s="103"/>
      <x:c r="D105" s="103" t="str">
        <x:f>IF(C105="","",IF(OR(C105="Biologia",C105="Quimica",C105="Fisica"),"Ciencias da Natureza",IF(C105="Humanas","Ciencias Humanas",C105)))</x:f>
      </x:c>
      <x:c r="E105" s="103"/>
      <x:c r="F105" s="103"/>
      <x:c r="G105" s="133"/>
      <x:c r="H105" s="133"/>
      <x:c r="I105" s="105" t="str">
        <x:f>IF(G105=0,"",H105/G105)</x:f>
      </x:c>
      <x:c r="J105" s="107" t="str">
        <x:f>IF(C105="","",IF(OR(C105="Biologia",C105="Quimica",C105="Fisica"),3,IF(OR(C105="Redacao",C105="Linguagens"),2,1.5)))</x:f>
      </x:c>
      <x:c r="K105" s="107" t="str">
        <x:f>IF(OR(G105=0,J105=""),"",H105*J105)</x:f>
      </x:c>
      <x:c r="L105" s="103"/>
      <x:c r="M105" s="103"/>
      <x:c r="N105" s="103"/>
    </x:row>
    <x:row r="106">
      <x:c r="A106" s="132"/>
      <x:c r="B106" s="103"/>
      <x:c r="C106" s="103"/>
      <x:c r="D106" s="103" t="str">
        <x:f>IF(C106="","",IF(OR(C106="Biologia",C106="Quimica",C106="Fisica"),"Ciencias da Natureza",IF(C106="Humanas","Ciencias Humanas",C106)))</x:f>
      </x:c>
      <x:c r="E106" s="103"/>
      <x:c r="F106" s="103"/>
      <x:c r="G106" s="133"/>
      <x:c r="H106" s="133"/>
      <x:c r="I106" s="105" t="str">
        <x:f>IF(G106=0,"",H106/G106)</x:f>
      </x:c>
      <x:c r="J106" s="107" t="str">
        <x:f>IF(C106="","",IF(OR(C106="Biologia",C106="Quimica",C106="Fisica"),3,IF(OR(C106="Redacao",C106="Linguagens"),2,1.5)))</x:f>
      </x:c>
      <x:c r="K106" s="107" t="str">
        <x:f>IF(OR(G106=0,J106=""),"",H106*J106)</x:f>
      </x:c>
      <x:c r="L106" s="103"/>
      <x:c r="M106" s="103"/>
      <x:c r="N106" s="103"/>
    </x:row>
    <x:row r="107">
      <x:c r="A107" s="132"/>
      <x:c r="B107" s="103"/>
      <x:c r="C107" s="103"/>
      <x:c r="D107" s="103" t="str">
        <x:f>IF(C107="","",IF(OR(C107="Biologia",C107="Quimica",C107="Fisica"),"Ciencias da Natureza",IF(C107="Humanas","Ciencias Humanas",C107)))</x:f>
      </x:c>
      <x:c r="E107" s="103"/>
      <x:c r="F107" s="103"/>
      <x:c r="G107" s="133"/>
      <x:c r="H107" s="133"/>
      <x:c r="I107" s="105" t="str">
        <x:f>IF(G107=0,"",H107/G107)</x:f>
      </x:c>
      <x:c r="J107" s="107" t="str">
        <x:f>IF(C107="","",IF(OR(C107="Biologia",C107="Quimica",C107="Fisica"),3,IF(OR(C107="Redacao",C107="Linguagens"),2,1.5)))</x:f>
      </x:c>
      <x:c r="K107" s="107" t="str">
        <x:f>IF(OR(G107=0,J107=""),"",H107*J107)</x:f>
      </x:c>
      <x:c r="L107" s="103"/>
      <x:c r="M107" s="103"/>
      <x:c r="N107" s="103"/>
    </x:row>
    <x:row r="108">
      <x:c r="A108" s="132"/>
      <x:c r="B108" s="103"/>
      <x:c r="C108" s="103"/>
      <x:c r="D108" s="103" t="str">
        <x:f>IF(C108="","",IF(OR(C108="Biologia",C108="Quimica",C108="Fisica"),"Ciencias da Natureza",IF(C108="Humanas","Ciencias Humanas",C108)))</x:f>
      </x:c>
      <x:c r="E108" s="103"/>
      <x:c r="F108" s="103"/>
      <x:c r="G108" s="133"/>
      <x:c r="H108" s="133"/>
      <x:c r="I108" s="105" t="str">
        <x:f>IF(G108=0,"",H108/G108)</x:f>
      </x:c>
      <x:c r="J108" s="107" t="str">
        <x:f>IF(C108="","",IF(OR(C108="Biologia",C108="Quimica",C108="Fisica"),3,IF(OR(C108="Redacao",C108="Linguagens"),2,1.5)))</x:f>
      </x:c>
      <x:c r="K108" s="107" t="str">
        <x:f>IF(OR(G108=0,J108=""),"",H108*J108)</x:f>
      </x:c>
      <x:c r="L108" s="103"/>
      <x:c r="M108" s="103"/>
      <x:c r="N108" s="103"/>
    </x:row>
    <x:row r="109">
      <x:c r="A109" s="132"/>
      <x:c r="B109" s="103"/>
      <x:c r="C109" s="103"/>
      <x:c r="D109" s="103" t="str">
        <x:f>IF(C109="","",IF(OR(C109="Biologia",C109="Quimica",C109="Fisica"),"Ciencias da Natureza",IF(C109="Humanas","Ciencias Humanas",C109)))</x:f>
      </x:c>
      <x:c r="E109" s="103"/>
      <x:c r="F109" s="103"/>
      <x:c r="G109" s="133"/>
      <x:c r="H109" s="133"/>
      <x:c r="I109" s="105" t="str">
        <x:f>IF(G109=0,"",H109/G109)</x:f>
      </x:c>
      <x:c r="J109" s="107" t="str">
        <x:f>IF(C109="","",IF(OR(C109="Biologia",C109="Quimica",C109="Fisica"),3,IF(OR(C109="Redacao",C109="Linguagens"),2,1.5)))</x:f>
      </x:c>
      <x:c r="K109" s="107" t="str">
        <x:f>IF(OR(G109=0,J109=""),"",H109*J109)</x:f>
      </x:c>
      <x:c r="L109" s="103"/>
      <x:c r="M109" s="103"/>
      <x:c r="N109" s="103"/>
    </x:row>
    <x:row r="110">
      <x:c r="A110" s="132"/>
      <x:c r="B110" s="103"/>
      <x:c r="C110" s="103"/>
      <x:c r="D110" s="103" t="str">
        <x:f>IF(C110="","",IF(OR(C110="Biologia",C110="Quimica",C110="Fisica"),"Ciencias da Natureza",IF(C110="Humanas","Ciencias Humanas",C110)))</x:f>
      </x:c>
      <x:c r="E110" s="103"/>
      <x:c r="F110" s="103"/>
      <x:c r="G110" s="133"/>
      <x:c r="H110" s="133"/>
      <x:c r="I110" s="105" t="str">
        <x:f>IF(G110=0,"",H110/G110)</x:f>
      </x:c>
      <x:c r="J110" s="107" t="str">
        <x:f>IF(C110="","",IF(OR(C110="Biologia",C110="Quimica",C110="Fisica"),3,IF(OR(C110="Redacao",C110="Linguagens"),2,1.5)))</x:f>
      </x:c>
      <x:c r="K110" s="107" t="str">
        <x:f>IF(OR(G110=0,J110=""),"",H110*J110)</x:f>
      </x:c>
      <x:c r="L110" s="103"/>
      <x:c r="M110" s="103"/>
      <x:c r="N110" s="103"/>
    </x:row>
    <x:row r="111">
      <x:c r="A111" s="132"/>
      <x:c r="B111" s="103"/>
      <x:c r="C111" s="103"/>
      <x:c r="D111" s="103" t="str">
        <x:f>IF(C111="","",IF(OR(C111="Biologia",C111="Quimica",C111="Fisica"),"Ciencias da Natureza",IF(C111="Humanas","Ciencias Humanas",C111)))</x:f>
      </x:c>
      <x:c r="E111" s="103"/>
      <x:c r="F111" s="103"/>
      <x:c r="G111" s="133"/>
      <x:c r="H111" s="133"/>
      <x:c r="I111" s="105" t="str">
        <x:f>IF(G111=0,"",H111/G111)</x:f>
      </x:c>
      <x:c r="J111" s="107" t="str">
        <x:f>IF(C111="","",IF(OR(C111="Biologia",C111="Quimica",C111="Fisica"),3,IF(OR(C111="Redacao",C111="Linguagens"),2,1.5)))</x:f>
      </x:c>
      <x:c r="K111" s="107" t="str">
        <x:f>IF(OR(G111=0,J111=""),"",H111*J111)</x:f>
      </x:c>
      <x:c r="L111" s="103"/>
      <x:c r="M111" s="103"/>
      <x:c r="N111" s="103"/>
    </x:row>
    <x:row r="112">
      <x:c r="A112" s="132"/>
      <x:c r="B112" s="103"/>
      <x:c r="C112" s="103"/>
      <x:c r="D112" s="103" t="str">
        <x:f>IF(C112="","",IF(OR(C112="Biologia",C112="Quimica",C112="Fisica"),"Ciencias da Natureza",IF(C112="Humanas","Ciencias Humanas",C112)))</x:f>
      </x:c>
      <x:c r="E112" s="103"/>
      <x:c r="F112" s="103"/>
      <x:c r="G112" s="133"/>
      <x:c r="H112" s="133"/>
      <x:c r="I112" s="105" t="str">
        <x:f>IF(G112=0,"",H112/G112)</x:f>
      </x:c>
      <x:c r="J112" s="107" t="str">
        <x:f>IF(C112="","",IF(OR(C112="Biologia",C112="Quimica",C112="Fisica"),3,IF(OR(C112="Redacao",C112="Linguagens"),2,1.5)))</x:f>
      </x:c>
      <x:c r="K112" s="107" t="str">
        <x:f>IF(OR(G112=0,J112=""),"",H112*J112)</x:f>
      </x:c>
      <x:c r="L112" s="103"/>
      <x:c r="M112" s="103"/>
      <x:c r="N112" s="103"/>
    </x:row>
    <x:row r="113">
      <x:c r="A113" s="132"/>
      <x:c r="B113" s="103"/>
      <x:c r="C113" s="103"/>
      <x:c r="D113" s="103" t="str">
        <x:f>IF(C113="","",IF(OR(C113="Biologia",C113="Quimica",C113="Fisica"),"Ciencias da Natureza",IF(C113="Humanas","Ciencias Humanas",C113)))</x:f>
      </x:c>
      <x:c r="E113" s="103"/>
      <x:c r="F113" s="103"/>
      <x:c r="G113" s="133"/>
      <x:c r="H113" s="133"/>
      <x:c r="I113" s="105" t="str">
        <x:f>IF(G113=0,"",H113/G113)</x:f>
      </x:c>
      <x:c r="J113" s="107" t="str">
        <x:f>IF(C113="","",IF(OR(C113="Biologia",C113="Quimica",C113="Fisica"),3,IF(OR(C113="Redacao",C113="Linguagens"),2,1.5)))</x:f>
      </x:c>
      <x:c r="K113" s="107" t="str">
        <x:f>IF(OR(G113=0,J113=""),"",H113*J113)</x:f>
      </x:c>
      <x:c r="L113" s="103"/>
      <x:c r="M113" s="103"/>
      <x:c r="N113" s="103"/>
    </x:row>
    <x:row r="114">
      <x:c r="A114" s="132"/>
      <x:c r="B114" s="103"/>
      <x:c r="C114" s="103"/>
      <x:c r="D114" s="103" t="str">
        <x:f>IF(C114="","",IF(OR(C114="Biologia",C114="Quimica",C114="Fisica"),"Ciencias da Natureza",IF(C114="Humanas","Ciencias Humanas",C114)))</x:f>
      </x:c>
      <x:c r="E114" s="103"/>
      <x:c r="F114" s="103"/>
      <x:c r="G114" s="133"/>
      <x:c r="H114" s="133"/>
      <x:c r="I114" s="105" t="str">
        <x:f>IF(G114=0,"",H114/G114)</x:f>
      </x:c>
      <x:c r="J114" s="107" t="str">
        <x:f>IF(C114="","",IF(OR(C114="Biologia",C114="Quimica",C114="Fisica"),3,IF(OR(C114="Redacao",C114="Linguagens"),2,1.5)))</x:f>
      </x:c>
      <x:c r="K114" s="107" t="str">
        <x:f>IF(OR(G114=0,J114=""),"",H114*J114)</x:f>
      </x:c>
      <x:c r="L114" s="103"/>
      <x:c r="M114" s="103"/>
      <x:c r="N114" s="103"/>
    </x:row>
    <x:row r="115">
      <x:c r="A115" s="132"/>
      <x:c r="B115" s="103"/>
      <x:c r="C115" s="103"/>
      <x:c r="D115" s="103" t="str">
        <x:f>IF(C115="","",IF(OR(C115="Biologia",C115="Quimica",C115="Fisica"),"Ciencias da Natureza",IF(C115="Humanas","Ciencias Humanas",C115)))</x:f>
      </x:c>
      <x:c r="E115" s="103"/>
      <x:c r="F115" s="103"/>
      <x:c r="G115" s="133"/>
      <x:c r="H115" s="133"/>
      <x:c r="I115" s="105" t="str">
        <x:f>IF(G115=0,"",H115/G115)</x:f>
      </x:c>
      <x:c r="J115" s="107" t="str">
        <x:f>IF(C115="","",IF(OR(C115="Biologia",C115="Quimica",C115="Fisica"),3,IF(OR(C115="Redacao",C115="Linguagens"),2,1.5)))</x:f>
      </x:c>
      <x:c r="K115" s="107" t="str">
        <x:f>IF(OR(G115=0,J115=""),"",H115*J115)</x:f>
      </x:c>
      <x:c r="L115" s="103"/>
      <x:c r="M115" s="103"/>
      <x:c r="N115" s="103"/>
    </x:row>
    <x:row r="116">
      <x:c r="A116" s="132"/>
      <x:c r="B116" s="103"/>
      <x:c r="C116" s="103"/>
      <x:c r="D116" s="103" t="str">
        <x:f>IF(C116="","",IF(OR(C116="Biologia",C116="Quimica",C116="Fisica"),"Ciencias da Natureza",IF(C116="Humanas","Ciencias Humanas",C116)))</x:f>
      </x:c>
      <x:c r="E116" s="103"/>
      <x:c r="F116" s="103"/>
      <x:c r="G116" s="133"/>
      <x:c r="H116" s="133"/>
      <x:c r="I116" s="105" t="str">
        <x:f>IF(G116=0,"",H116/G116)</x:f>
      </x:c>
      <x:c r="J116" s="107" t="str">
        <x:f>IF(C116="","",IF(OR(C116="Biologia",C116="Quimica",C116="Fisica"),3,IF(OR(C116="Redacao",C116="Linguagens"),2,1.5)))</x:f>
      </x:c>
      <x:c r="K116" s="107" t="str">
        <x:f>IF(OR(G116=0,J116=""),"",H116*J116)</x:f>
      </x:c>
      <x:c r="L116" s="103"/>
      <x:c r="M116" s="103"/>
      <x:c r="N116" s="103"/>
    </x:row>
    <x:row r="117">
      <x:c r="A117" s="132"/>
      <x:c r="B117" s="103"/>
      <x:c r="C117" s="103"/>
      <x:c r="D117" s="103" t="str">
        <x:f>IF(C117="","",IF(OR(C117="Biologia",C117="Quimica",C117="Fisica"),"Ciencias da Natureza",IF(C117="Humanas","Ciencias Humanas",C117)))</x:f>
      </x:c>
      <x:c r="E117" s="103"/>
      <x:c r="F117" s="103"/>
      <x:c r="G117" s="133"/>
      <x:c r="H117" s="133"/>
      <x:c r="I117" s="105" t="str">
        <x:f>IF(G117=0,"",H117/G117)</x:f>
      </x:c>
      <x:c r="J117" s="107" t="str">
        <x:f>IF(C117="","",IF(OR(C117="Biologia",C117="Quimica",C117="Fisica"),3,IF(OR(C117="Redacao",C117="Linguagens"),2,1.5)))</x:f>
      </x:c>
      <x:c r="K117" s="107" t="str">
        <x:f>IF(OR(G117=0,J117=""),"",H117*J117)</x:f>
      </x:c>
      <x:c r="L117" s="103"/>
      <x:c r="M117" s="103"/>
      <x:c r="N117" s="103"/>
    </x:row>
    <x:row r="118">
      <x:c r="A118" s="132"/>
      <x:c r="B118" s="103"/>
      <x:c r="C118" s="103"/>
      <x:c r="D118" s="103" t="str">
        <x:f>IF(C118="","",IF(OR(C118="Biologia",C118="Quimica",C118="Fisica"),"Ciencias da Natureza",IF(C118="Humanas","Ciencias Humanas",C118)))</x:f>
      </x:c>
      <x:c r="E118" s="103"/>
      <x:c r="F118" s="103"/>
      <x:c r="G118" s="133"/>
      <x:c r="H118" s="133"/>
      <x:c r="I118" s="105" t="str">
        <x:f>IF(G118=0,"",H118/G118)</x:f>
      </x:c>
      <x:c r="J118" s="107" t="str">
        <x:f>IF(C118="","",IF(OR(C118="Biologia",C118="Quimica",C118="Fisica"),3,IF(OR(C118="Redacao",C118="Linguagens"),2,1.5)))</x:f>
      </x:c>
      <x:c r="K118" s="107" t="str">
        <x:f>IF(OR(G118=0,J118=""),"",H118*J118)</x:f>
      </x:c>
      <x:c r="L118" s="103"/>
      <x:c r="M118" s="103"/>
      <x:c r="N118" s="103"/>
    </x:row>
    <x:row r="119">
      <x:c r="A119" s="132"/>
      <x:c r="B119" s="103"/>
      <x:c r="C119" s="103"/>
      <x:c r="D119" s="103" t="str">
        <x:f>IF(C119="","",IF(OR(C119="Biologia",C119="Quimica",C119="Fisica"),"Ciencias da Natureza",IF(C119="Humanas","Ciencias Humanas",C119)))</x:f>
      </x:c>
      <x:c r="E119" s="103"/>
      <x:c r="F119" s="103"/>
      <x:c r="G119" s="133"/>
      <x:c r="H119" s="133"/>
      <x:c r="I119" s="105" t="str">
        <x:f>IF(G119=0,"",H119/G119)</x:f>
      </x:c>
      <x:c r="J119" s="107" t="str">
        <x:f>IF(C119="","",IF(OR(C119="Biologia",C119="Quimica",C119="Fisica"),3,IF(OR(C119="Redacao",C119="Linguagens"),2,1.5)))</x:f>
      </x:c>
      <x:c r="K119" s="107" t="str">
        <x:f>IF(OR(G119=0,J119=""),"",H119*J119)</x:f>
      </x:c>
      <x:c r="L119" s="103"/>
      <x:c r="M119" s="103"/>
      <x:c r="N119" s="103"/>
    </x:row>
    <x:row r="120">
      <x:c r="A120" s="132"/>
      <x:c r="B120" s="103"/>
      <x:c r="C120" s="103"/>
      <x:c r="D120" s="103" t="str">
        <x:f>IF(C120="","",IF(OR(C120="Biologia",C120="Quimica",C120="Fisica"),"Ciencias da Natureza",IF(C120="Humanas","Ciencias Humanas",C120)))</x:f>
      </x:c>
      <x:c r="E120" s="103"/>
      <x:c r="F120" s="103"/>
      <x:c r="G120" s="133"/>
      <x:c r="H120" s="133"/>
      <x:c r="I120" s="105" t="str">
        <x:f>IF(G120=0,"",H120/G120)</x:f>
      </x:c>
      <x:c r="J120" s="107" t="str">
        <x:f>IF(C120="","",IF(OR(C120="Biologia",C120="Quimica",C120="Fisica"),3,IF(OR(C120="Redacao",C120="Linguagens"),2,1.5)))</x:f>
      </x:c>
      <x:c r="K120" s="107" t="str">
        <x:f>IF(OR(G120=0,J120=""),"",H120*J120)</x:f>
      </x:c>
      <x:c r="L120" s="103"/>
      <x:c r="M120" s="103"/>
      <x:c r="N120" s="103"/>
    </x:row>
    <x:row r="121">
      <x:c r="A121" s="132"/>
      <x:c r="B121" s="103"/>
      <x:c r="C121" s="103"/>
      <x:c r="D121" s="103" t="str">
        <x:f>IF(C121="","",IF(OR(C121="Biologia",C121="Quimica",C121="Fisica"),"Ciencias da Natureza",IF(C121="Humanas","Ciencias Humanas",C121)))</x:f>
      </x:c>
      <x:c r="E121" s="103"/>
      <x:c r="F121" s="103"/>
      <x:c r="G121" s="133"/>
      <x:c r="H121" s="133"/>
      <x:c r="I121" s="105" t="str">
        <x:f>IF(G121=0,"",H121/G121)</x:f>
      </x:c>
      <x:c r="J121" s="107" t="str">
        <x:f>IF(C121="","",IF(OR(C121="Biologia",C121="Quimica",C121="Fisica"),3,IF(OR(C121="Redacao",C121="Linguagens"),2,1.5)))</x:f>
      </x:c>
      <x:c r="K121" s="107" t="str">
        <x:f>IF(OR(G121=0,J121=""),"",H121*J121)</x:f>
      </x:c>
      <x:c r="L121" s="103"/>
      <x:c r="M121" s="103"/>
      <x:c r="N121" s="103"/>
    </x:row>
    <x:row r="122">
      <x:c r="A122" s="132"/>
      <x:c r="B122" s="103"/>
      <x:c r="C122" s="103"/>
      <x:c r="D122" s="103" t="str">
        <x:f>IF(C122="","",IF(OR(C122="Biologia",C122="Quimica",C122="Fisica"),"Ciencias da Natureza",IF(C122="Humanas","Ciencias Humanas",C122)))</x:f>
      </x:c>
      <x:c r="E122" s="103"/>
      <x:c r="F122" s="103"/>
      <x:c r="G122" s="133"/>
      <x:c r="H122" s="133"/>
      <x:c r="I122" s="105" t="str">
        <x:f>IF(G122=0,"",H122/G122)</x:f>
      </x:c>
      <x:c r="J122" s="107" t="str">
        <x:f>IF(C122="","",IF(OR(C122="Biologia",C122="Quimica",C122="Fisica"),3,IF(OR(C122="Redacao",C122="Linguagens"),2,1.5)))</x:f>
      </x:c>
      <x:c r="K122" s="107" t="str">
        <x:f>IF(OR(G122=0,J122=""),"",H122*J122)</x:f>
      </x:c>
      <x:c r="L122" s="103"/>
      <x:c r="M122" s="103"/>
      <x:c r="N122" s="103"/>
    </x:row>
    <x:row r="123">
      <x:c r="A123" s="132"/>
      <x:c r="B123" s="103"/>
      <x:c r="C123" s="103"/>
      <x:c r="D123" s="103" t="str">
        <x:f>IF(C123="","",IF(OR(C123="Biologia",C123="Quimica",C123="Fisica"),"Ciencias da Natureza",IF(C123="Humanas","Ciencias Humanas",C123)))</x:f>
      </x:c>
      <x:c r="E123" s="103"/>
      <x:c r="F123" s="103"/>
      <x:c r="G123" s="133"/>
      <x:c r="H123" s="133"/>
      <x:c r="I123" s="105" t="str">
        <x:f>IF(G123=0,"",H123/G123)</x:f>
      </x:c>
      <x:c r="J123" s="107" t="str">
        <x:f>IF(C123="","",IF(OR(C123="Biologia",C123="Quimica",C123="Fisica"),3,IF(OR(C123="Redacao",C123="Linguagens"),2,1.5)))</x:f>
      </x:c>
      <x:c r="K123" s="107" t="str">
        <x:f>IF(OR(G123=0,J123=""),"",H123*J123)</x:f>
      </x:c>
      <x:c r="L123" s="103"/>
      <x:c r="M123" s="103"/>
      <x:c r="N123" s="103"/>
    </x:row>
    <x:row r="124">
      <x:c r="A124" s="132"/>
      <x:c r="B124" s="103"/>
      <x:c r="C124" s="103"/>
      <x:c r="D124" s="103" t="str">
        <x:f>IF(C124="","",IF(OR(C124="Biologia",C124="Quimica",C124="Fisica"),"Ciencias da Natureza",IF(C124="Humanas","Ciencias Humanas",C124)))</x:f>
      </x:c>
      <x:c r="E124" s="103"/>
      <x:c r="F124" s="103"/>
      <x:c r="G124" s="133"/>
      <x:c r="H124" s="133"/>
      <x:c r="I124" s="105" t="str">
        <x:f>IF(G124=0,"",H124/G124)</x:f>
      </x:c>
      <x:c r="J124" s="107" t="str">
        <x:f>IF(C124="","",IF(OR(C124="Biologia",C124="Quimica",C124="Fisica"),3,IF(OR(C124="Redacao",C124="Linguagens"),2,1.5)))</x:f>
      </x:c>
      <x:c r="K124" s="107" t="str">
        <x:f>IF(OR(G124=0,J124=""),"",H124*J124)</x:f>
      </x:c>
      <x:c r="L124" s="103"/>
      <x:c r="M124" s="103"/>
      <x:c r="N124" s="103"/>
    </x:row>
    <x:row r="125">
      <x:c r="A125" s="132"/>
      <x:c r="B125" s="103"/>
      <x:c r="C125" s="103"/>
      <x:c r="D125" s="103" t="str">
        <x:f>IF(C125="","",IF(OR(C125="Biologia",C125="Quimica",C125="Fisica"),"Ciencias da Natureza",IF(C125="Humanas","Ciencias Humanas",C125)))</x:f>
      </x:c>
      <x:c r="E125" s="103"/>
      <x:c r="F125" s="103"/>
      <x:c r="G125" s="133"/>
      <x:c r="H125" s="133"/>
      <x:c r="I125" s="105" t="str">
        <x:f>IF(G125=0,"",H125/G125)</x:f>
      </x:c>
      <x:c r="J125" s="107" t="str">
        <x:f>IF(C125="","",IF(OR(C125="Biologia",C125="Quimica",C125="Fisica"),3,IF(OR(C125="Redacao",C125="Linguagens"),2,1.5)))</x:f>
      </x:c>
      <x:c r="K125" s="107" t="str">
        <x:f>IF(OR(G125=0,J125=""),"",H125*J125)</x:f>
      </x:c>
      <x:c r="L125" s="103"/>
      <x:c r="M125" s="103"/>
      <x:c r="N125" s="103"/>
    </x:row>
    <x:row r="126">
      <x:c r="A126" s="132"/>
      <x:c r="B126" s="103"/>
      <x:c r="C126" s="103"/>
      <x:c r="D126" s="103" t="str">
        <x:f>IF(C126="","",IF(OR(C126="Biologia",C126="Quimica",C126="Fisica"),"Ciencias da Natureza",IF(C126="Humanas","Ciencias Humanas",C126)))</x:f>
      </x:c>
      <x:c r="E126" s="103"/>
      <x:c r="F126" s="103"/>
      <x:c r="G126" s="133"/>
      <x:c r="H126" s="133"/>
      <x:c r="I126" s="105" t="str">
        <x:f>IF(G126=0,"",H126/G126)</x:f>
      </x:c>
      <x:c r="J126" s="107" t="str">
        <x:f>IF(C126="","",IF(OR(C126="Biologia",C126="Quimica",C126="Fisica"),3,IF(OR(C126="Redacao",C126="Linguagens"),2,1.5)))</x:f>
      </x:c>
      <x:c r="K126" s="107" t="str">
        <x:f>IF(OR(G126=0,J126=""),"",H126*J126)</x:f>
      </x:c>
      <x:c r="L126" s="103"/>
      <x:c r="M126" s="103"/>
      <x:c r="N126" s="103"/>
    </x:row>
    <x:row r="127">
      <x:c r="A127" s="132"/>
      <x:c r="B127" s="103"/>
      <x:c r="C127" s="103"/>
      <x:c r="D127" s="103" t="str">
        <x:f>IF(C127="","",IF(OR(C127="Biologia",C127="Quimica",C127="Fisica"),"Ciencias da Natureza",IF(C127="Humanas","Ciencias Humanas",C127)))</x:f>
      </x:c>
      <x:c r="E127" s="103"/>
      <x:c r="F127" s="103"/>
      <x:c r="G127" s="133"/>
      <x:c r="H127" s="133"/>
      <x:c r="I127" s="105" t="str">
        <x:f>IF(G127=0,"",H127/G127)</x:f>
      </x:c>
      <x:c r="J127" s="107" t="str">
        <x:f>IF(C127="","",IF(OR(C127="Biologia",C127="Quimica",C127="Fisica"),3,IF(OR(C127="Redacao",C127="Linguagens"),2,1.5)))</x:f>
      </x:c>
      <x:c r="K127" s="107" t="str">
        <x:f>IF(OR(G127=0,J127=""),"",H127*J127)</x:f>
      </x:c>
      <x:c r="L127" s="103"/>
      <x:c r="M127" s="103"/>
      <x:c r="N127" s="103"/>
    </x:row>
    <x:row r="128">
      <x:c r="A128" s="132"/>
      <x:c r="B128" s="103"/>
      <x:c r="C128" s="103"/>
      <x:c r="D128" s="103" t="str">
        <x:f>IF(C128="","",IF(OR(C128="Biologia",C128="Quimica",C128="Fisica"),"Ciencias da Natureza",IF(C128="Humanas","Ciencias Humanas",C128)))</x:f>
      </x:c>
      <x:c r="E128" s="103"/>
      <x:c r="F128" s="103"/>
      <x:c r="G128" s="133"/>
      <x:c r="H128" s="133"/>
      <x:c r="I128" s="105" t="str">
        <x:f>IF(G128=0,"",H128/G128)</x:f>
      </x:c>
      <x:c r="J128" s="107" t="str">
        <x:f>IF(C128="","",IF(OR(C128="Biologia",C128="Quimica",C128="Fisica"),3,IF(OR(C128="Redacao",C128="Linguagens"),2,1.5)))</x:f>
      </x:c>
      <x:c r="K128" s="107" t="str">
        <x:f>IF(OR(G128=0,J128=""),"",H128*J128)</x:f>
      </x:c>
      <x:c r="L128" s="103"/>
      <x:c r="M128" s="103"/>
      <x:c r="N128" s="103"/>
    </x:row>
    <x:row r="129">
      <x:c r="A129" s="132"/>
      <x:c r="B129" s="103"/>
      <x:c r="C129" s="103"/>
      <x:c r="D129" s="103" t="str">
        <x:f>IF(C129="","",IF(OR(C129="Biologia",C129="Quimica",C129="Fisica"),"Ciencias da Natureza",IF(C129="Humanas","Ciencias Humanas",C129)))</x:f>
      </x:c>
      <x:c r="E129" s="103"/>
      <x:c r="F129" s="103"/>
      <x:c r="G129" s="133"/>
      <x:c r="H129" s="133"/>
      <x:c r="I129" s="105" t="str">
        <x:f>IF(G129=0,"",H129/G129)</x:f>
      </x:c>
      <x:c r="J129" s="107" t="str">
        <x:f>IF(C129="","",IF(OR(C129="Biologia",C129="Quimica",C129="Fisica"),3,IF(OR(C129="Redacao",C129="Linguagens"),2,1.5)))</x:f>
      </x:c>
      <x:c r="K129" s="107" t="str">
        <x:f>IF(OR(G129=0,J129=""),"",H129*J129)</x:f>
      </x:c>
      <x:c r="L129" s="103"/>
      <x:c r="M129" s="103"/>
      <x:c r="N129" s="103"/>
    </x:row>
    <x:row r="130">
      <x:c r="A130" s="132"/>
      <x:c r="B130" s="103"/>
      <x:c r="C130" s="103"/>
      <x:c r="D130" s="103" t="str">
        <x:f>IF(C130="","",IF(OR(C130="Biologia",C130="Quimica",C130="Fisica"),"Ciencias da Natureza",IF(C130="Humanas","Ciencias Humanas",C130)))</x:f>
      </x:c>
      <x:c r="E130" s="103"/>
      <x:c r="F130" s="103"/>
      <x:c r="G130" s="133"/>
      <x:c r="H130" s="133"/>
      <x:c r="I130" s="105" t="str">
        <x:f>IF(G130=0,"",H130/G130)</x:f>
      </x:c>
      <x:c r="J130" s="107" t="str">
        <x:f>IF(C130="","",IF(OR(C130="Biologia",C130="Quimica",C130="Fisica"),3,IF(OR(C130="Redacao",C130="Linguagens"),2,1.5)))</x:f>
      </x:c>
      <x:c r="K130" s="107" t="str">
        <x:f>IF(OR(G130=0,J130=""),"",H130*J130)</x:f>
      </x:c>
      <x:c r="L130" s="103"/>
      <x:c r="M130" s="103"/>
      <x:c r="N130" s="103"/>
    </x:row>
    <x:row r="131">
      <x:c r="A131" s="132"/>
      <x:c r="B131" s="103"/>
      <x:c r="C131" s="103"/>
      <x:c r="D131" s="103" t="str">
        <x:f>IF(C131="","",IF(OR(C131="Biologia",C131="Quimica",C131="Fisica"),"Ciencias da Natureza",IF(C131="Humanas","Ciencias Humanas",C131)))</x:f>
      </x:c>
      <x:c r="E131" s="103"/>
      <x:c r="F131" s="103"/>
      <x:c r="G131" s="133"/>
      <x:c r="H131" s="133"/>
      <x:c r="I131" s="105" t="str">
        <x:f>IF(G131=0,"",H131/G131)</x:f>
      </x:c>
      <x:c r="J131" s="107" t="str">
        <x:f>IF(C131="","",IF(OR(C131="Biologia",C131="Quimica",C131="Fisica"),3,IF(OR(C131="Redacao",C131="Linguagens"),2,1.5)))</x:f>
      </x:c>
      <x:c r="K131" s="107" t="str">
        <x:f>IF(OR(G131=0,J131=""),"",H131*J131)</x:f>
      </x:c>
      <x:c r="L131" s="103"/>
      <x:c r="M131" s="103"/>
      <x:c r="N131" s="103"/>
    </x:row>
    <x:row r="132">
      <x:c r="A132" s="132"/>
      <x:c r="B132" s="103"/>
      <x:c r="C132" s="103"/>
      <x:c r="D132" s="103" t="str">
        <x:f>IF(C132="","",IF(OR(C132="Biologia",C132="Quimica",C132="Fisica"),"Ciencias da Natureza",IF(C132="Humanas","Ciencias Humanas",C132)))</x:f>
      </x:c>
      <x:c r="E132" s="103"/>
      <x:c r="F132" s="103"/>
      <x:c r="G132" s="133"/>
      <x:c r="H132" s="133"/>
      <x:c r="I132" s="105" t="str">
        <x:f>IF(G132=0,"",H132/G132)</x:f>
      </x:c>
      <x:c r="J132" s="107" t="str">
        <x:f>IF(C132="","",IF(OR(C132="Biologia",C132="Quimica",C132="Fisica"),3,IF(OR(C132="Redacao",C132="Linguagens"),2,1.5)))</x:f>
      </x:c>
      <x:c r="K132" s="107" t="str">
        <x:f>IF(OR(G132=0,J132=""),"",H132*J132)</x:f>
      </x:c>
      <x:c r="L132" s="103"/>
      <x:c r="M132" s="103"/>
      <x:c r="N132" s="103"/>
    </x:row>
    <x:row r="133">
      <x:c r="A133" s="132"/>
      <x:c r="B133" s="103"/>
      <x:c r="C133" s="103"/>
      <x:c r="D133" s="103" t="str">
        <x:f>IF(C133="","",IF(OR(C133="Biologia",C133="Quimica",C133="Fisica"),"Ciencias da Natureza",IF(C133="Humanas","Ciencias Humanas",C133)))</x:f>
      </x:c>
      <x:c r="E133" s="103"/>
      <x:c r="F133" s="103"/>
      <x:c r="G133" s="133"/>
      <x:c r="H133" s="133"/>
      <x:c r="I133" s="105" t="str">
        <x:f>IF(G133=0,"",H133/G133)</x:f>
      </x:c>
      <x:c r="J133" s="107" t="str">
        <x:f>IF(C133="","",IF(OR(C133="Biologia",C133="Quimica",C133="Fisica"),3,IF(OR(C133="Redacao",C133="Linguagens"),2,1.5)))</x:f>
      </x:c>
      <x:c r="K133" s="107" t="str">
        <x:f>IF(OR(G133=0,J133=""),"",H133*J133)</x:f>
      </x:c>
      <x:c r="L133" s="103"/>
      <x:c r="M133" s="103"/>
      <x:c r="N133" s="103"/>
    </x:row>
    <x:row r="134">
      <x:c r="A134" s="132"/>
      <x:c r="B134" s="103"/>
      <x:c r="C134" s="103"/>
      <x:c r="D134" s="103" t="str">
        <x:f>IF(C134="","",IF(OR(C134="Biologia",C134="Quimica",C134="Fisica"),"Ciencias da Natureza",IF(C134="Humanas","Ciencias Humanas",C134)))</x:f>
      </x:c>
      <x:c r="E134" s="103"/>
      <x:c r="F134" s="103"/>
      <x:c r="G134" s="133"/>
      <x:c r="H134" s="133"/>
      <x:c r="I134" s="105" t="str">
        <x:f>IF(G134=0,"",H134/G134)</x:f>
      </x:c>
      <x:c r="J134" s="107" t="str">
        <x:f>IF(C134="","",IF(OR(C134="Biologia",C134="Quimica",C134="Fisica"),3,IF(OR(C134="Redacao",C134="Linguagens"),2,1.5)))</x:f>
      </x:c>
      <x:c r="K134" s="107" t="str">
        <x:f>IF(OR(G134=0,J134=""),"",H134*J134)</x:f>
      </x:c>
      <x:c r="L134" s="103"/>
      <x:c r="M134" s="103"/>
      <x:c r="N134" s="103"/>
    </x:row>
    <x:row r="135">
      <x:c r="A135" s="132"/>
      <x:c r="B135" s="103"/>
      <x:c r="C135" s="103"/>
      <x:c r="D135" s="103" t="str">
        <x:f>IF(C135="","",IF(OR(C135="Biologia",C135="Quimica",C135="Fisica"),"Ciencias da Natureza",IF(C135="Humanas","Ciencias Humanas",C135)))</x:f>
      </x:c>
      <x:c r="E135" s="103"/>
      <x:c r="F135" s="103"/>
      <x:c r="G135" s="133"/>
      <x:c r="H135" s="133"/>
      <x:c r="I135" s="105" t="str">
        <x:f>IF(G135=0,"",H135/G135)</x:f>
      </x:c>
      <x:c r="J135" s="107" t="str">
        <x:f>IF(C135="","",IF(OR(C135="Biologia",C135="Quimica",C135="Fisica"),3,IF(OR(C135="Redacao",C135="Linguagens"),2,1.5)))</x:f>
      </x:c>
      <x:c r="K135" s="107" t="str">
        <x:f>IF(OR(G135=0,J135=""),"",H135*J135)</x:f>
      </x:c>
      <x:c r="L135" s="103"/>
      <x:c r="M135" s="103"/>
      <x:c r="N135" s="103"/>
    </x:row>
    <x:row r="136">
      <x:c r="A136" s="132"/>
      <x:c r="B136" s="103"/>
      <x:c r="C136" s="103"/>
      <x:c r="D136" s="103" t="str">
        <x:f>IF(C136="","",IF(OR(C136="Biologia",C136="Quimica",C136="Fisica"),"Ciencias da Natureza",IF(C136="Humanas","Ciencias Humanas",C136)))</x:f>
      </x:c>
      <x:c r="E136" s="103"/>
      <x:c r="F136" s="103"/>
      <x:c r="G136" s="133"/>
      <x:c r="H136" s="133"/>
      <x:c r="I136" s="105" t="str">
        <x:f>IF(G136=0,"",H136/G136)</x:f>
      </x:c>
      <x:c r="J136" s="107" t="str">
        <x:f>IF(C136="","",IF(OR(C136="Biologia",C136="Quimica",C136="Fisica"),3,IF(OR(C136="Redacao",C136="Linguagens"),2,1.5)))</x:f>
      </x:c>
      <x:c r="K136" s="107" t="str">
        <x:f>IF(OR(G136=0,J136=""),"",H136*J136)</x:f>
      </x:c>
      <x:c r="L136" s="103"/>
      <x:c r="M136" s="103"/>
      <x:c r="N136" s="103"/>
    </x:row>
    <x:row r="137">
      <x:c r="A137" s="132"/>
      <x:c r="B137" s="103"/>
      <x:c r="C137" s="103"/>
      <x:c r="D137" s="103" t="str">
        <x:f>IF(C137="","",IF(OR(C137="Biologia",C137="Quimica",C137="Fisica"),"Ciencias da Natureza",IF(C137="Humanas","Ciencias Humanas",C137)))</x:f>
      </x:c>
      <x:c r="E137" s="103"/>
      <x:c r="F137" s="103"/>
      <x:c r="G137" s="133"/>
      <x:c r="H137" s="133"/>
      <x:c r="I137" s="105" t="str">
        <x:f>IF(G137=0,"",H137/G137)</x:f>
      </x:c>
      <x:c r="J137" s="107" t="str">
        <x:f>IF(C137="","",IF(OR(C137="Biologia",C137="Quimica",C137="Fisica"),3,IF(OR(C137="Redacao",C137="Linguagens"),2,1.5)))</x:f>
      </x:c>
      <x:c r="K137" s="107" t="str">
        <x:f>IF(OR(G137=0,J137=""),"",H137*J137)</x:f>
      </x:c>
      <x:c r="L137" s="103"/>
      <x:c r="M137" s="103"/>
      <x:c r="N137" s="103"/>
    </x:row>
    <x:row r="138">
      <x:c r="A138" s="132"/>
      <x:c r="B138" s="103"/>
      <x:c r="C138" s="103"/>
      <x:c r="D138" s="103" t="str">
        <x:f>IF(C138="","",IF(OR(C138="Biologia",C138="Quimica",C138="Fisica"),"Ciencias da Natureza",IF(C138="Humanas","Ciencias Humanas",C138)))</x:f>
      </x:c>
      <x:c r="E138" s="103"/>
      <x:c r="F138" s="103"/>
      <x:c r="G138" s="133"/>
      <x:c r="H138" s="133"/>
      <x:c r="I138" s="105" t="str">
        <x:f>IF(G138=0,"",H138/G138)</x:f>
      </x:c>
      <x:c r="J138" s="107" t="str">
        <x:f>IF(C138="","",IF(OR(C138="Biologia",C138="Quimica",C138="Fisica"),3,IF(OR(C138="Redacao",C138="Linguagens"),2,1.5)))</x:f>
      </x:c>
      <x:c r="K138" s="107" t="str">
        <x:f>IF(OR(G138=0,J138=""),"",H138*J138)</x:f>
      </x:c>
      <x:c r="L138" s="103"/>
      <x:c r="M138" s="103"/>
      <x:c r="N138" s="103"/>
    </x:row>
    <x:row r="139">
      <x:c r="A139" s="132"/>
      <x:c r="B139" s="103"/>
      <x:c r="C139" s="103"/>
      <x:c r="D139" s="103" t="str">
        <x:f>IF(C139="","",IF(OR(C139="Biologia",C139="Quimica",C139="Fisica"),"Ciencias da Natureza",IF(C139="Humanas","Ciencias Humanas",C139)))</x:f>
      </x:c>
      <x:c r="E139" s="103"/>
      <x:c r="F139" s="103"/>
      <x:c r="G139" s="133"/>
      <x:c r="H139" s="133"/>
      <x:c r="I139" s="105" t="str">
        <x:f>IF(G139=0,"",H139/G139)</x:f>
      </x:c>
      <x:c r="J139" s="107" t="str">
        <x:f>IF(C139="","",IF(OR(C139="Biologia",C139="Quimica",C139="Fisica"),3,IF(OR(C139="Redacao",C139="Linguagens"),2,1.5)))</x:f>
      </x:c>
      <x:c r="K139" s="107" t="str">
        <x:f>IF(OR(G139=0,J139=""),"",H139*J139)</x:f>
      </x:c>
      <x:c r="L139" s="103"/>
      <x:c r="M139" s="103"/>
      <x:c r="N139" s="103"/>
    </x:row>
    <x:row r="140">
      <x:c r="A140" s="132"/>
      <x:c r="B140" s="103"/>
      <x:c r="C140" s="103"/>
      <x:c r="D140" s="103" t="str">
        <x:f>IF(C140="","",IF(OR(C140="Biologia",C140="Quimica",C140="Fisica"),"Ciencias da Natureza",IF(C140="Humanas","Ciencias Humanas",C140)))</x:f>
      </x:c>
      <x:c r="E140" s="103"/>
      <x:c r="F140" s="103"/>
      <x:c r="G140" s="133"/>
      <x:c r="H140" s="133"/>
      <x:c r="I140" s="105" t="str">
        <x:f>IF(G140=0,"",H140/G140)</x:f>
      </x:c>
      <x:c r="J140" s="107" t="str">
        <x:f>IF(C140="","",IF(OR(C140="Biologia",C140="Quimica",C140="Fisica"),3,IF(OR(C140="Redacao",C140="Linguagens"),2,1.5)))</x:f>
      </x:c>
      <x:c r="K140" s="107" t="str">
        <x:f>IF(OR(G140=0,J140=""),"",H140*J140)</x:f>
      </x:c>
      <x:c r="L140" s="103"/>
      <x:c r="M140" s="103"/>
      <x:c r="N140" s="103"/>
    </x:row>
    <x:row r="141">
      <x:c r="A141" s="132"/>
      <x:c r="B141" s="103"/>
      <x:c r="C141" s="103"/>
      <x:c r="D141" s="103" t="str">
        <x:f>IF(C141="","",IF(OR(C141="Biologia",C141="Quimica",C141="Fisica"),"Ciencias da Natureza",IF(C141="Humanas","Ciencias Humanas",C141)))</x:f>
      </x:c>
      <x:c r="E141" s="103"/>
      <x:c r="F141" s="103"/>
      <x:c r="G141" s="133"/>
      <x:c r="H141" s="133"/>
      <x:c r="I141" s="105" t="str">
        <x:f>IF(G141=0,"",H141/G141)</x:f>
      </x:c>
      <x:c r="J141" s="107" t="str">
        <x:f>IF(C141="","",IF(OR(C141="Biologia",C141="Quimica",C141="Fisica"),3,IF(OR(C141="Redacao",C141="Linguagens"),2,1.5)))</x:f>
      </x:c>
      <x:c r="K141" s="107" t="str">
        <x:f>IF(OR(G141=0,J141=""),"",H141*J141)</x:f>
      </x:c>
      <x:c r="L141" s="103"/>
      <x:c r="M141" s="103"/>
      <x:c r="N141" s="103"/>
    </x:row>
    <x:row r="142">
      <x:c r="A142" s="132"/>
      <x:c r="B142" s="103"/>
      <x:c r="C142" s="103"/>
      <x:c r="D142" s="103" t="str">
        <x:f>IF(C142="","",IF(OR(C142="Biologia",C142="Quimica",C142="Fisica"),"Ciencias da Natureza",IF(C142="Humanas","Ciencias Humanas",C142)))</x:f>
      </x:c>
      <x:c r="E142" s="103"/>
      <x:c r="F142" s="103"/>
      <x:c r="G142" s="133"/>
      <x:c r="H142" s="133"/>
      <x:c r="I142" s="105" t="str">
        <x:f>IF(G142=0,"",H142/G142)</x:f>
      </x:c>
      <x:c r="J142" s="107" t="str">
        <x:f>IF(C142="","",IF(OR(C142="Biologia",C142="Quimica",C142="Fisica"),3,IF(OR(C142="Redacao",C142="Linguagens"),2,1.5)))</x:f>
      </x:c>
      <x:c r="K142" s="107" t="str">
        <x:f>IF(OR(G142=0,J142=""),"",H142*J142)</x:f>
      </x:c>
      <x:c r="L142" s="103"/>
      <x:c r="M142" s="103"/>
      <x:c r="N142" s="103"/>
    </x:row>
    <x:row r="143">
      <x:c r="A143" s="132"/>
      <x:c r="B143" s="103"/>
      <x:c r="C143" s="103"/>
      <x:c r="D143" s="103" t="str">
        <x:f>IF(C143="","",IF(OR(C143="Biologia",C143="Quimica",C143="Fisica"),"Ciencias da Natureza",IF(C143="Humanas","Ciencias Humanas",C143)))</x:f>
      </x:c>
      <x:c r="E143" s="103"/>
      <x:c r="F143" s="103"/>
      <x:c r="G143" s="133"/>
      <x:c r="H143" s="133"/>
      <x:c r="I143" s="105" t="str">
        <x:f>IF(G143=0,"",H143/G143)</x:f>
      </x:c>
      <x:c r="J143" s="107" t="str">
        <x:f>IF(C143="","",IF(OR(C143="Biologia",C143="Quimica",C143="Fisica"),3,IF(OR(C143="Redacao",C143="Linguagens"),2,1.5)))</x:f>
      </x:c>
      <x:c r="K143" s="107" t="str">
        <x:f>IF(OR(G143=0,J143=""),"",H143*J143)</x:f>
      </x:c>
      <x:c r="L143" s="103"/>
      <x:c r="M143" s="103"/>
      <x:c r="N143" s="103"/>
    </x:row>
    <x:row r="144">
      <x:c r="A144" s="132"/>
      <x:c r="B144" s="103"/>
      <x:c r="C144" s="103"/>
      <x:c r="D144" s="103" t="str">
        <x:f>IF(C144="","",IF(OR(C144="Biologia",C144="Quimica",C144="Fisica"),"Ciencias da Natureza",IF(C144="Humanas","Ciencias Humanas",C144)))</x:f>
      </x:c>
      <x:c r="E144" s="103"/>
      <x:c r="F144" s="103"/>
      <x:c r="G144" s="133"/>
      <x:c r="H144" s="133"/>
      <x:c r="I144" s="105" t="str">
        <x:f>IF(G144=0,"",H144/G144)</x:f>
      </x:c>
      <x:c r="J144" s="107" t="str">
        <x:f>IF(C144="","",IF(OR(C144="Biologia",C144="Quimica",C144="Fisica"),3,IF(OR(C144="Redacao",C144="Linguagens"),2,1.5)))</x:f>
      </x:c>
      <x:c r="K144" s="107" t="str">
        <x:f>IF(OR(G144=0,J144=""),"",H144*J144)</x:f>
      </x:c>
      <x:c r="L144" s="103"/>
      <x:c r="M144" s="103"/>
      <x:c r="N144" s="103"/>
    </x:row>
    <x:row r="145">
      <x:c r="A145" s="132"/>
      <x:c r="B145" s="103"/>
      <x:c r="C145" s="103"/>
      <x:c r="D145" s="103" t="str">
        <x:f>IF(C145="","",IF(OR(C145="Biologia",C145="Quimica",C145="Fisica"),"Ciencias da Natureza",IF(C145="Humanas","Ciencias Humanas",C145)))</x:f>
      </x:c>
      <x:c r="E145" s="103"/>
      <x:c r="F145" s="103"/>
      <x:c r="G145" s="133"/>
      <x:c r="H145" s="133"/>
      <x:c r="I145" s="105" t="str">
        <x:f>IF(G145=0,"",H145/G145)</x:f>
      </x:c>
      <x:c r="J145" s="107" t="str">
        <x:f>IF(C145="","",IF(OR(C145="Biologia",C145="Quimica",C145="Fisica"),3,IF(OR(C145="Redacao",C145="Linguagens"),2,1.5)))</x:f>
      </x:c>
      <x:c r="K145" s="107" t="str">
        <x:f>IF(OR(G145=0,J145=""),"",H145*J145)</x:f>
      </x:c>
      <x:c r="L145" s="103"/>
      <x:c r="M145" s="103"/>
      <x:c r="N145" s="103"/>
    </x:row>
    <x:row r="146">
      <x:c r="A146" s="132"/>
      <x:c r="B146" s="103"/>
      <x:c r="C146" s="103"/>
      <x:c r="D146" s="103" t="str">
        <x:f>IF(C146="","",IF(OR(C146="Biologia",C146="Quimica",C146="Fisica"),"Ciencias da Natureza",IF(C146="Humanas","Ciencias Humanas",C146)))</x:f>
      </x:c>
      <x:c r="E146" s="103"/>
      <x:c r="F146" s="103"/>
      <x:c r="G146" s="133"/>
      <x:c r="H146" s="133"/>
      <x:c r="I146" s="105" t="str">
        <x:f>IF(G146=0,"",H146/G146)</x:f>
      </x:c>
      <x:c r="J146" s="107" t="str">
        <x:f>IF(C146="","",IF(OR(C146="Biologia",C146="Quimica",C146="Fisica"),3,IF(OR(C146="Redacao",C146="Linguagens"),2,1.5)))</x:f>
      </x:c>
      <x:c r="K146" s="107" t="str">
        <x:f>IF(OR(G146=0,J146=""),"",H146*J146)</x:f>
      </x:c>
      <x:c r="L146" s="103"/>
      <x:c r="M146" s="103"/>
      <x:c r="N146" s="103"/>
    </x:row>
    <x:row r="147">
      <x:c r="A147" s="132"/>
      <x:c r="B147" s="103"/>
      <x:c r="C147" s="103"/>
      <x:c r="D147" s="103" t="str">
        <x:f>IF(C147="","",IF(OR(C147="Biologia",C147="Quimica",C147="Fisica"),"Ciencias da Natureza",IF(C147="Humanas","Ciencias Humanas",C147)))</x:f>
      </x:c>
      <x:c r="E147" s="103"/>
      <x:c r="F147" s="103"/>
      <x:c r="G147" s="133"/>
      <x:c r="H147" s="133"/>
      <x:c r="I147" s="105" t="str">
        <x:f>IF(G147=0,"",H147/G147)</x:f>
      </x:c>
      <x:c r="J147" s="107" t="str">
        <x:f>IF(C147="","",IF(OR(C147="Biologia",C147="Quimica",C147="Fisica"),3,IF(OR(C147="Redacao",C147="Linguagens"),2,1.5)))</x:f>
      </x:c>
      <x:c r="K147" s="107" t="str">
        <x:f>IF(OR(G147=0,J147=""),"",H147*J147)</x:f>
      </x:c>
      <x:c r="L147" s="103"/>
      <x:c r="M147" s="103"/>
      <x:c r="N147" s="103"/>
    </x:row>
    <x:row r="148">
      <x:c r="A148" s="132"/>
      <x:c r="B148" s="103"/>
      <x:c r="C148" s="103"/>
      <x:c r="D148" s="103" t="str">
        <x:f>IF(C148="","",IF(OR(C148="Biologia",C148="Quimica",C148="Fisica"),"Ciencias da Natureza",IF(C148="Humanas","Ciencias Humanas",C148)))</x:f>
      </x:c>
      <x:c r="E148" s="103"/>
      <x:c r="F148" s="103"/>
      <x:c r="G148" s="133"/>
      <x:c r="H148" s="133"/>
      <x:c r="I148" s="105" t="str">
        <x:f>IF(G148=0,"",H148/G148)</x:f>
      </x:c>
      <x:c r="J148" s="107" t="str">
        <x:f>IF(C148="","",IF(OR(C148="Biologia",C148="Quimica",C148="Fisica"),3,IF(OR(C148="Redacao",C148="Linguagens"),2,1.5)))</x:f>
      </x:c>
      <x:c r="K148" s="107" t="str">
        <x:f>IF(OR(G148=0,J148=""),"",H148*J148)</x:f>
      </x:c>
      <x:c r="L148" s="103"/>
      <x:c r="M148" s="103"/>
      <x:c r="N148" s="103"/>
    </x:row>
    <x:row r="149">
      <x:c r="A149" s="132"/>
      <x:c r="B149" s="103"/>
      <x:c r="C149" s="103"/>
      <x:c r="D149" s="103" t="str">
        <x:f>IF(C149="","",IF(OR(C149="Biologia",C149="Quimica",C149="Fisica"),"Ciencias da Natureza",IF(C149="Humanas","Ciencias Humanas",C149)))</x:f>
      </x:c>
      <x:c r="E149" s="103"/>
      <x:c r="F149" s="103"/>
      <x:c r="G149" s="133"/>
      <x:c r="H149" s="133"/>
      <x:c r="I149" s="105" t="str">
        <x:f>IF(G149=0,"",H149/G149)</x:f>
      </x:c>
      <x:c r="J149" s="107" t="str">
        <x:f>IF(C149="","",IF(OR(C149="Biologia",C149="Quimica",C149="Fisica"),3,IF(OR(C149="Redacao",C149="Linguagens"),2,1.5)))</x:f>
      </x:c>
      <x:c r="K149" s="107" t="str">
        <x:f>IF(OR(G149=0,J149=""),"",H149*J149)</x:f>
      </x:c>
      <x:c r="L149" s="103"/>
      <x:c r="M149" s="103"/>
      <x:c r="N149" s="103"/>
    </x:row>
    <x:row r="150">
      <x:c r="A150" s="132"/>
      <x:c r="B150" s="103"/>
      <x:c r="C150" s="103"/>
      <x:c r="D150" s="103" t="str">
        <x:f>IF(C150="","",IF(OR(C150="Biologia",C150="Quimica",C150="Fisica"),"Ciencias da Natureza",IF(C150="Humanas","Ciencias Humanas",C150)))</x:f>
      </x:c>
      <x:c r="E150" s="103"/>
      <x:c r="F150" s="103"/>
      <x:c r="G150" s="133"/>
      <x:c r="H150" s="133"/>
      <x:c r="I150" s="105" t="str">
        <x:f>IF(G150=0,"",H150/G150)</x:f>
      </x:c>
      <x:c r="J150" s="107" t="str">
        <x:f>IF(C150="","",IF(OR(C150="Biologia",C150="Quimica",C150="Fisica"),3,IF(OR(C150="Redacao",C150="Linguagens"),2,1.5)))</x:f>
      </x:c>
      <x:c r="K150" s="107" t="str">
        <x:f>IF(OR(G150=0,J150=""),"",H150*J150)</x:f>
      </x:c>
      <x:c r="L150" s="103"/>
      <x:c r="M150" s="103"/>
      <x:c r="N150" s="103"/>
    </x:row>
    <x:row r="151">
      <x:c r="A151" s="132"/>
      <x:c r="B151" s="103"/>
      <x:c r="C151" s="103"/>
      <x:c r="D151" s="103" t="str">
        <x:f>IF(C151="","",IF(OR(C151="Biologia",C151="Quimica",C151="Fisica"),"Ciencias da Natureza",IF(C151="Humanas","Ciencias Humanas",C151)))</x:f>
      </x:c>
      <x:c r="E151" s="103"/>
      <x:c r="F151" s="103"/>
      <x:c r="G151" s="133"/>
      <x:c r="H151" s="133"/>
      <x:c r="I151" s="105" t="str">
        <x:f>IF(G151=0,"",H151/G151)</x:f>
      </x:c>
      <x:c r="J151" s="107" t="str">
        <x:f>IF(C151="","",IF(OR(C151="Biologia",C151="Quimica",C151="Fisica"),3,IF(OR(C151="Redacao",C151="Linguagens"),2,1.5)))</x:f>
      </x:c>
      <x:c r="K151" s="107" t="str">
        <x:f>IF(OR(G151=0,J151=""),"",H151*J151)</x:f>
      </x:c>
      <x:c r="L151" s="103"/>
      <x:c r="M151" s="103"/>
      <x:c r="N151" s="103"/>
    </x:row>
    <x:row r="152">
      <x:c r="A152" s="132"/>
      <x:c r="B152" s="103"/>
      <x:c r="C152" s="103"/>
      <x:c r="D152" s="103" t="str">
        <x:f>IF(C152="","",IF(OR(C152="Biologia",C152="Quimica",C152="Fisica"),"Ciencias da Natureza",IF(C152="Humanas","Ciencias Humanas",C152)))</x:f>
      </x:c>
      <x:c r="E152" s="103"/>
      <x:c r="F152" s="103"/>
      <x:c r="G152" s="133"/>
      <x:c r="H152" s="133"/>
      <x:c r="I152" s="105" t="str">
        <x:f>IF(G152=0,"",H152/G152)</x:f>
      </x:c>
      <x:c r="J152" s="107" t="str">
        <x:f>IF(C152="","",IF(OR(C152="Biologia",C152="Quimica",C152="Fisica"),3,IF(OR(C152="Redacao",C152="Linguagens"),2,1.5)))</x:f>
      </x:c>
      <x:c r="K152" s="107" t="str">
        <x:f>IF(OR(G152=0,J152=""),"",H152*J152)</x:f>
      </x:c>
      <x:c r="L152" s="103"/>
      <x:c r="M152" s="103"/>
      <x:c r="N152" s="103"/>
    </x:row>
    <x:row r="153">
      <x:c r="A153" s="132"/>
      <x:c r="B153" s="103"/>
      <x:c r="C153" s="103"/>
      <x:c r="D153" s="103" t="str">
        <x:f>IF(C153="","",IF(OR(C153="Biologia",C153="Quimica",C153="Fisica"),"Ciencias da Natureza",IF(C153="Humanas","Ciencias Humanas",C153)))</x:f>
      </x:c>
      <x:c r="E153" s="103"/>
      <x:c r="F153" s="103"/>
      <x:c r="G153" s="133"/>
      <x:c r="H153" s="133"/>
      <x:c r="I153" s="105" t="str">
        <x:f>IF(G153=0,"",H153/G153)</x:f>
      </x:c>
      <x:c r="J153" s="107" t="str">
        <x:f>IF(C153="","",IF(OR(C153="Biologia",C153="Quimica",C153="Fisica"),3,IF(OR(C153="Redacao",C153="Linguagens"),2,1.5)))</x:f>
      </x:c>
      <x:c r="K153" s="107" t="str">
        <x:f>IF(OR(G153=0,J153=""),"",H153*J153)</x:f>
      </x:c>
      <x:c r="L153" s="103"/>
      <x:c r="M153" s="103"/>
      <x:c r="N153" s="103"/>
    </x:row>
    <x:row r="154">
      <x:c r="A154" s="132"/>
      <x:c r="B154" s="103"/>
      <x:c r="C154" s="103"/>
      <x:c r="D154" s="103" t="str">
        <x:f>IF(C154="","",IF(OR(C154="Biologia",C154="Quimica",C154="Fisica"),"Ciencias da Natureza",IF(C154="Humanas","Ciencias Humanas",C154)))</x:f>
      </x:c>
      <x:c r="E154" s="103"/>
      <x:c r="F154" s="103"/>
      <x:c r="G154" s="133"/>
      <x:c r="H154" s="133"/>
      <x:c r="I154" s="105" t="str">
        <x:f>IF(G154=0,"",H154/G154)</x:f>
      </x:c>
      <x:c r="J154" s="107" t="str">
        <x:f>IF(C154="","",IF(OR(C154="Biologia",C154="Quimica",C154="Fisica"),3,IF(OR(C154="Redacao",C154="Linguagens"),2,1.5)))</x:f>
      </x:c>
      <x:c r="K154" s="107" t="str">
        <x:f>IF(OR(G154=0,J154=""),"",H154*J154)</x:f>
      </x:c>
      <x:c r="L154" s="103"/>
      <x:c r="M154" s="103"/>
      <x:c r="N154" s="103"/>
    </x:row>
    <x:row r="155">
      <x:c r="A155" s="132"/>
      <x:c r="B155" s="103"/>
      <x:c r="C155" s="103"/>
      <x:c r="D155" s="103" t="str">
        <x:f>IF(C155="","",IF(OR(C155="Biologia",C155="Quimica",C155="Fisica"),"Ciencias da Natureza",IF(C155="Humanas","Ciencias Humanas",C155)))</x:f>
      </x:c>
      <x:c r="E155" s="103"/>
      <x:c r="F155" s="103"/>
      <x:c r="G155" s="133"/>
      <x:c r="H155" s="133"/>
      <x:c r="I155" s="105" t="str">
        <x:f>IF(G155=0,"",H155/G155)</x:f>
      </x:c>
      <x:c r="J155" s="107" t="str">
        <x:f>IF(C155="","",IF(OR(C155="Biologia",C155="Quimica",C155="Fisica"),3,IF(OR(C155="Redacao",C155="Linguagens"),2,1.5)))</x:f>
      </x:c>
      <x:c r="K155" s="107" t="str">
        <x:f>IF(OR(G155=0,J155=""),"",H155*J155)</x:f>
      </x:c>
      <x:c r="L155" s="103"/>
      <x:c r="M155" s="103"/>
      <x:c r="N155" s="103"/>
    </x:row>
    <x:row r="156">
      <x:c r="A156" s="132"/>
      <x:c r="B156" s="103"/>
      <x:c r="C156" s="103"/>
      <x:c r="D156" s="103" t="str">
        <x:f>IF(C156="","",IF(OR(C156="Biologia",C156="Quimica",C156="Fisica"),"Ciencias da Natureza",IF(C156="Humanas","Ciencias Humanas",C156)))</x:f>
      </x:c>
      <x:c r="E156" s="103"/>
      <x:c r="F156" s="103"/>
      <x:c r="G156" s="133"/>
      <x:c r="H156" s="133"/>
      <x:c r="I156" s="105" t="str">
        <x:f>IF(G156=0,"",H156/G156)</x:f>
      </x:c>
      <x:c r="J156" s="107" t="str">
        <x:f>IF(C156="","",IF(OR(C156="Biologia",C156="Quimica",C156="Fisica"),3,IF(OR(C156="Redacao",C156="Linguagens"),2,1.5)))</x:f>
      </x:c>
      <x:c r="K156" s="107" t="str">
        <x:f>IF(OR(G156=0,J156=""),"",H156*J156)</x:f>
      </x:c>
      <x:c r="L156" s="103"/>
      <x:c r="M156" s="103"/>
      <x:c r="N156" s="103"/>
    </x:row>
    <x:row r="157">
      <x:c r="A157" s="132"/>
      <x:c r="B157" s="103"/>
      <x:c r="C157" s="103"/>
      <x:c r="D157" s="103" t="str">
        <x:f>IF(C157="","",IF(OR(C157="Biologia",C157="Quimica",C157="Fisica"),"Ciencias da Natureza",IF(C157="Humanas","Ciencias Humanas",C157)))</x:f>
      </x:c>
      <x:c r="E157" s="103"/>
      <x:c r="F157" s="103"/>
      <x:c r="G157" s="133"/>
      <x:c r="H157" s="133"/>
      <x:c r="I157" s="105" t="str">
        <x:f>IF(G157=0,"",H157/G157)</x:f>
      </x:c>
      <x:c r="J157" s="107" t="str">
        <x:f>IF(C157="","",IF(OR(C157="Biologia",C157="Quimica",C157="Fisica"),3,IF(OR(C157="Redacao",C157="Linguagens"),2,1.5)))</x:f>
      </x:c>
      <x:c r="K157" s="107" t="str">
        <x:f>IF(OR(G157=0,J157=""),"",H157*J157)</x:f>
      </x:c>
      <x:c r="L157" s="103"/>
      <x:c r="M157" s="103"/>
      <x:c r="N157" s="103"/>
    </x:row>
    <x:row r="158">
      <x:c r="A158" s="132"/>
      <x:c r="B158" s="103"/>
      <x:c r="C158" s="103"/>
      <x:c r="D158" s="103" t="str">
        <x:f>IF(C158="","",IF(OR(C158="Biologia",C158="Quimica",C158="Fisica"),"Ciencias da Natureza",IF(C158="Humanas","Ciencias Humanas",C158)))</x:f>
      </x:c>
      <x:c r="E158" s="103"/>
      <x:c r="F158" s="103"/>
      <x:c r="G158" s="133"/>
      <x:c r="H158" s="133"/>
      <x:c r="I158" s="105" t="str">
        <x:f>IF(G158=0,"",H158/G158)</x:f>
      </x:c>
      <x:c r="J158" s="107" t="str">
        <x:f>IF(C158="","",IF(OR(C158="Biologia",C158="Quimica",C158="Fisica"),3,IF(OR(C158="Redacao",C158="Linguagens"),2,1.5)))</x:f>
      </x:c>
      <x:c r="K158" s="107" t="str">
        <x:f>IF(OR(G158=0,J158=""),"",H158*J158)</x:f>
      </x:c>
      <x:c r="L158" s="103"/>
      <x:c r="M158" s="103"/>
      <x:c r="N158" s="103"/>
    </x:row>
    <x:row r="159">
      <x:c r="A159" s="132"/>
      <x:c r="B159" s="103"/>
      <x:c r="C159" s="103"/>
      <x:c r="D159" s="103" t="str">
        <x:f>IF(C159="","",IF(OR(C159="Biologia",C159="Quimica",C159="Fisica"),"Ciencias da Natureza",IF(C159="Humanas","Ciencias Humanas",C159)))</x:f>
      </x:c>
      <x:c r="E159" s="103"/>
      <x:c r="F159" s="103"/>
      <x:c r="G159" s="133"/>
      <x:c r="H159" s="133"/>
      <x:c r="I159" s="105" t="str">
        <x:f>IF(G159=0,"",H159/G159)</x:f>
      </x:c>
      <x:c r="J159" s="107" t="str">
        <x:f>IF(C159="","",IF(OR(C159="Biologia",C159="Quimica",C159="Fisica"),3,IF(OR(C159="Redacao",C159="Linguagens"),2,1.5)))</x:f>
      </x:c>
      <x:c r="K159" s="107" t="str">
        <x:f>IF(OR(G159=0,J159=""),"",H159*J159)</x:f>
      </x:c>
      <x:c r="L159" s="103"/>
      <x:c r="M159" s="103"/>
      <x:c r="N159" s="103"/>
    </x:row>
    <x:row r="160">
      <x:c r="A160" s="132"/>
      <x:c r="B160" s="103"/>
      <x:c r="C160" s="103"/>
      <x:c r="D160" s="103" t="str">
        <x:f>IF(C160="","",IF(OR(C160="Biologia",C160="Quimica",C160="Fisica"),"Ciencias da Natureza",IF(C160="Humanas","Ciencias Humanas",C160)))</x:f>
      </x:c>
      <x:c r="E160" s="103"/>
      <x:c r="F160" s="103"/>
      <x:c r="G160" s="133"/>
      <x:c r="H160" s="133"/>
      <x:c r="I160" s="105" t="str">
        <x:f>IF(G160=0,"",H160/G160)</x:f>
      </x:c>
      <x:c r="J160" s="107" t="str">
        <x:f>IF(C160="","",IF(OR(C160="Biologia",C160="Quimica",C160="Fisica"),3,IF(OR(C160="Redacao",C160="Linguagens"),2,1.5)))</x:f>
      </x:c>
      <x:c r="K160" s="107" t="str">
        <x:f>IF(OR(G160=0,J160=""),"",H160*J160)</x:f>
      </x:c>
      <x:c r="L160" s="103"/>
      <x:c r="M160" s="103"/>
      <x:c r="N160" s="103"/>
    </x:row>
    <x:row r="161">
      <x:c r="A161" s="132"/>
      <x:c r="B161" s="103"/>
      <x:c r="C161" s="103"/>
      <x:c r="D161" s="103" t="str">
        <x:f>IF(C161="","",IF(OR(C161="Biologia",C161="Quimica",C161="Fisica"),"Ciencias da Natureza",IF(C161="Humanas","Ciencias Humanas",C161)))</x:f>
      </x:c>
      <x:c r="E161" s="103"/>
      <x:c r="F161" s="103"/>
      <x:c r="G161" s="133"/>
      <x:c r="H161" s="133"/>
      <x:c r="I161" s="105" t="str">
        <x:f>IF(G161=0,"",H161/G161)</x:f>
      </x:c>
      <x:c r="J161" s="107" t="str">
        <x:f>IF(C161="","",IF(OR(C161="Biologia",C161="Quimica",C161="Fisica"),3,IF(OR(C161="Redacao",C161="Linguagens"),2,1.5)))</x:f>
      </x:c>
      <x:c r="K161" s="107" t="str">
        <x:f>IF(OR(G161=0,J161=""),"",H161*J161)</x:f>
      </x:c>
      <x:c r="L161" s="103"/>
      <x:c r="M161" s="103"/>
      <x:c r="N161" s="103"/>
    </x:row>
    <x:row r="162">
      <x:c r="A162" s="132"/>
      <x:c r="B162" s="103"/>
      <x:c r="C162" s="103"/>
      <x:c r="D162" s="103" t="str">
        <x:f>IF(C162="","",IF(OR(C162="Biologia",C162="Quimica",C162="Fisica"),"Ciencias da Natureza",IF(C162="Humanas","Ciencias Humanas",C162)))</x:f>
      </x:c>
      <x:c r="E162" s="103"/>
      <x:c r="F162" s="103"/>
      <x:c r="G162" s="133"/>
      <x:c r="H162" s="133"/>
      <x:c r="I162" s="105" t="str">
        <x:f>IF(G162=0,"",H162/G162)</x:f>
      </x:c>
      <x:c r="J162" s="107" t="str">
        <x:f>IF(C162="","",IF(OR(C162="Biologia",C162="Quimica",C162="Fisica"),3,IF(OR(C162="Redacao",C162="Linguagens"),2,1.5)))</x:f>
      </x:c>
      <x:c r="K162" s="107" t="str">
        <x:f>IF(OR(G162=0,J162=""),"",H162*J162)</x:f>
      </x:c>
      <x:c r="L162" s="103"/>
      <x:c r="M162" s="103"/>
      <x:c r="N162" s="103"/>
    </x:row>
    <x:row r="163">
      <x:c r="A163" s="132"/>
      <x:c r="B163" s="103"/>
      <x:c r="C163" s="103"/>
      <x:c r="D163" s="103" t="str">
        <x:f>IF(C163="","",IF(OR(C163="Biologia",C163="Quimica",C163="Fisica"),"Ciencias da Natureza",IF(C163="Humanas","Ciencias Humanas",C163)))</x:f>
      </x:c>
      <x:c r="E163" s="103"/>
      <x:c r="F163" s="103"/>
      <x:c r="G163" s="133"/>
      <x:c r="H163" s="133"/>
      <x:c r="I163" s="105" t="str">
        <x:f>IF(G163=0,"",H163/G163)</x:f>
      </x:c>
      <x:c r="J163" s="107" t="str">
        <x:f>IF(C163="","",IF(OR(C163="Biologia",C163="Quimica",C163="Fisica"),3,IF(OR(C163="Redacao",C163="Linguagens"),2,1.5)))</x:f>
      </x:c>
      <x:c r="K163" s="107" t="str">
        <x:f>IF(OR(G163=0,J163=""),"",H163*J163)</x:f>
      </x:c>
      <x:c r="L163" s="103"/>
      <x:c r="M163" s="103"/>
      <x:c r="N163" s="103"/>
    </x:row>
    <x:row r="164">
      <x:c r="A164" s="132"/>
      <x:c r="B164" s="103"/>
      <x:c r="C164" s="103"/>
      <x:c r="D164" s="103" t="str">
        <x:f>IF(C164="","",IF(OR(C164="Biologia",C164="Quimica",C164="Fisica"),"Ciencias da Natureza",IF(C164="Humanas","Ciencias Humanas",C164)))</x:f>
      </x:c>
      <x:c r="E164" s="103"/>
      <x:c r="F164" s="103"/>
      <x:c r="G164" s="133"/>
      <x:c r="H164" s="133"/>
      <x:c r="I164" s="105" t="str">
        <x:f>IF(G164=0,"",H164/G164)</x:f>
      </x:c>
      <x:c r="J164" s="107" t="str">
        <x:f>IF(C164="","",IF(OR(C164="Biologia",C164="Quimica",C164="Fisica"),3,IF(OR(C164="Redacao",C164="Linguagens"),2,1.5)))</x:f>
      </x:c>
      <x:c r="K164" s="107" t="str">
        <x:f>IF(OR(G164=0,J164=""),"",H164*J164)</x:f>
      </x:c>
      <x:c r="L164" s="103"/>
      <x:c r="M164" s="103"/>
      <x:c r="N164" s="103"/>
    </x:row>
    <x:row r="165">
      <x:c r="A165" s="132"/>
      <x:c r="B165" s="103"/>
      <x:c r="C165" s="103"/>
      <x:c r="D165" s="103" t="str">
        <x:f>IF(C165="","",IF(OR(C165="Biologia",C165="Quimica",C165="Fisica"),"Ciencias da Natureza",IF(C165="Humanas","Ciencias Humanas",C165)))</x:f>
      </x:c>
      <x:c r="E165" s="103"/>
      <x:c r="F165" s="103"/>
      <x:c r="G165" s="133"/>
      <x:c r="H165" s="133"/>
      <x:c r="I165" s="105" t="str">
        <x:f>IF(G165=0,"",H165/G165)</x:f>
      </x:c>
      <x:c r="J165" s="107" t="str">
        <x:f>IF(C165="","",IF(OR(C165="Biologia",C165="Quimica",C165="Fisica"),3,IF(OR(C165="Redacao",C165="Linguagens"),2,1.5)))</x:f>
      </x:c>
      <x:c r="K165" s="107" t="str">
        <x:f>IF(OR(G165=0,J165=""),"",H165*J165)</x:f>
      </x:c>
      <x:c r="L165" s="103"/>
      <x:c r="M165" s="103"/>
      <x:c r="N165" s="103"/>
    </x:row>
    <x:row r="166">
      <x:c r="A166" s="132"/>
      <x:c r="B166" s="103"/>
      <x:c r="C166" s="103"/>
      <x:c r="D166" s="103" t="str">
        <x:f>IF(C166="","",IF(OR(C166="Biologia",C166="Quimica",C166="Fisica"),"Ciencias da Natureza",IF(C166="Humanas","Ciencias Humanas",C166)))</x:f>
      </x:c>
      <x:c r="E166" s="103"/>
      <x:c r="F166" s="103"/>
      <x:c r="G166" s="133"/>
      <x:c r="H166" s="133"/>
      <x:c r="I166" s="105" t="str">
        <x:f>IF(G166=0,"",H166/G166)</x:f>
      </x:c>
      <x:c r="J166" s="107" t="str">
        <x:f>IF(C166="","",IF(OR(C166="Biologia",C166="Quimica",C166="Fisica"),3,IF(OR(C166="Redacao",C166="Linguagens"),2,1.5)))</x:f>
      </x:c>
      <x:c r="K166" s="107" t="str">
        <x:f>IF(OR(G166=0,J166=""),"",H166*J166)</x:f>
      </x:c>
      <x:c r="L166" s="103"/>
      <x:c r="M166" s="103"/>
      <x:c r="N166" s="103"/>
    </x:row>
    <x:row r="167">
      <x:c r="A167" s="132"/>
      <x:c r="B167" s="103"/>
      <x:c r="C167" s="103"/>
      <x:c r="D167" s="103" t="str">
        <x:f>IF(C167="","",IF(OR(C167="Biologia",C167="Quimica",C167="Fisica"),"Ciencias da Natureza",IF(C167="Humanas","Ciencias Humanas",C167)))</x:f>
      </x:c>
      <x:c r="E167" s="103"/>
      <x:c r="F167" s="103"/>
      <x:c r="G167" s="133"/>
      <x:c r="H167" s="133"/>
      <x:c r="I167" s="105" t="str">
        <x:f>IF(G167=0,"",H167/G167)</x:f>
      </x:c>
      <x:c r="J167" s="107" t="str">
        <x:f>IF(C167="","",IF(OR(C167="Biologia",C167="Quimica",C167="Fisica"),3,IF(OR(C167="Redacao",C167="Linguagens"),2,1.5)))</x:f>
      </x:c>
      <x:c r="K167" s="107" t="str">
        <x:f>IF(OR(G167=0,J167=""),"",H167*J167)</x:f>
      </x:c>
      <x:c r="L167" s="103"/>
      <x:c r="M167" s="103"/>
      <x:c r="N167" s="103"/>
    </x:row>
    <x:row r="168">
      <x:c r="A168" s="132"/>
      <x:c r="B168" s="103"/>
      <x:c r="C168" s="103"/>
      <x:c r="D168" s="103" t="str">
        <x:f>IF(C168="","",IF(OR(C168="Biologia",C168="Quimica",C168="Fisica"),"Ciencias da Natureza",IF(C168="Humanas","Ciencias Humanas",C168)))</x:f>
      </x:c>
      <x:c r="E168" s="103"/>
      <x:c r="F168" s="103"/>
      <x:c r="G168" s="133"/>
      <x:c r="H168" s="133"/>
      <x:c r="I168" s="105" t="str">
        <x:f>IF(G168=0,"",H168/G168)</x:f>
      </x:c>
      <x:c r="J168" s="107" t="str">
        <x:f>IF(C168="","",IF(OR(C168="Biologia",C168="Quimica",C168="Fisica"),3,IF(OR(C168="Redacao",C168="Linguagens"),2,1.5)))</x:f>
      </x:c>
      <x:c r="K168" s="107" t="str">
        <x:f>IF(OR(G168=0,J168=""),"",H168*J168)</x:f>
      </x:c>
      <x:c r="L168" s="103"/>
      <x:c r="M168" s="103"/>
      <x:c r="N168" s="103"/>
    </x:row>
    <x:row r="169">
      <x:c r="A169" s="132"/>
      <x:c r="B169" s="103"/>
      <x:c r="C169" s="103"/>
      <x:c r="D169" s="103" t="str">
        <x:f>IF(C169="","",IF(OR(C169="Biologia",C169="Quimica",C169="Fisica"),"Ciencias da Natureza",IF(C169="Humanas","Ciencias Humanas",C169)))</x:f>
      </x:c>
      <x:c r="E169" s="103"/>
      <x:c r="F169" s="103"/>
      <x:c r="G169" s="133"/>
      <x:c r="H169" s="133"/>
      <x:c r="I169" s="105" t="str">
        <x:f>IF(G169=0,"",H169/G169)</x:f>
      </x:c>
      <x:c r="J169" s="107" t="str">
        <x:f>IF(C169="","",IF(OR(C169="Biologia",C169="Quimica",C169="Fisica"),3,IF(OR(C169="Redacao",C169="Linguagens"),2,1.5)))</x:f>
      </x:c>
      <x:c r="K169" s="107" t="str">
        <x:f>IF(OR(G169=0,J169=""),"",H169*J169)</x:f>
      </x:c>
      <x:c r="L169" s="103"/>
      <x:c r="M169" s="103"/>
      <x:c r="N169" s="103"/>
    </x:row>
    <x:row r="170">
      <x:c r="A170" s="132"/>
      <x:c r="B170" s="103"/>
      <x:c r="C170" s="103"/>
      <x:c r="D170" s="103" t="str">
        <x:f>IF(C170="","",IF(OR(C170="Biologia",C170="Quimica",C170="Fisica"),"Ciencias da Natureza",IF(C170="Humanas","Ciencias Humanas",C170)))</x:f>
      </x:c>
      <x:c r="E170" s="103"/>
      <x:c r="F170" s="103"/>
      <x:c r="G170" s="133"/>
      <x:c r="H170" s="133"/>
      <x:c r="I170" s="105" t="str">
        <x:f>IF(G170=0,"",H170/G170)</x:f>
      </x:c>
      <x:c r="J170" s="107" t="str">
        <x:f>IF(C170="","",IF(OR(C170="Biologia",C170="Quimica",C170="Fisica"),3,IF(OR(C170="Redacao",C170="Linguagens"),2,1.5)))</x:f>
      </x:c>
      <x:c r="K170" s="107" t="str">
        <x:f>IF(OR(G170=0,J170=""),"",H170*J170)</x:f>
      </x:c>
      <x:c r="L170" s="103"/>
      <x:c r="M170" s="103"/>
      <x:c r="N170" s="103"/>
    </x:row>
    <x:row r="171">
      <x:c r="A171" s="132"/>
      <x:c r="B171" s="103"/>
      <x:c r="C171" s="103"/>
      <x:c r="D171" s="103" t="str">
        <x:f>IF(C171="","",IF(OR(C171="Biologia",C171="Quimica",C171="Fisica"),"Ciencias da Natureza",IF(C171="Humanas","Ciencias Humanas",C171)))</x:f>
      </x:c>
      <x:c r="E171" s="103"/>
      <x:c r="F171" s="103"/>
      <x:c r="G171" s="133"/>
      <x:c r="H171" s="133"/>
      <x:c r="I171" s="105" t="str">
        <x:f>IF(G171=0,"",H171/G171)</x:f>
      </x:c>
      <x:c r="J171" s="107" t="str">
        <x:f>IF(C171="","",IF(OR(C171="Biologia",C171="Quimica",C171="Fisica"),3,IF(OR(C171="Redacao",C171="Linguagens"),2,1.5)))</x:f>
      </x:c>
      <x:c r="K171" s="107" t="str">
        <x:f>IF(OR(G171=0,J171=""),"",H171*J171)</x:f>
      </x:c>
      <x:c r="L171" s="103"/>
      <x:c r="M171" s="103"/>
      <x:c r="N171" s="103"/>
    </x:row>
    <x:row r="172">
      <x:c r="A172" s="132"/>
      <x:c r="B172" s="103"/>
      <x:c r="C172" s="103"/>
      <x:c r="D172" s="103" t="str">
        <x:f>IF(C172="","",IF(OR(C172="Biologia",C172="Quimica",C172="Fisica"),"Ciencias da Natureza",IF(C172="Humanas","Ciencias Humanas",C172)))</x:f>
      </x:c>
      <x:c r="E172" s="103"/>
      <x:c r="F172" s="103"/>
      <x:c r="G172" s="133"/>
      <x:c r="H172" s="133"/>
      <x:c r="I172" s="105" t="str">
        <x:f>IF(G172=0,"",H172/G172)</x:f>
      </x:c>
      <x:c r="J172" s="107" t="str">
        <x:f>IF(C172="","",IF(OR(C172="Biologia",C172="Quimica",C172="Fisica"),3,IF(OR(C172="Redacao",C172="Linguagens"),2,1.5)))</x:f>
      </x:c>
      <x:c r="K172" s="107" t="str">
        <x:f>IF(OR(G172=0,J172=""),"",H172*J172)</x:f>
      </x:c>
      <x:c r="L172" s="103"/>
      <x:c r="M172" s="103"/>
      <x:c r="N172" s="103"/>
    </x:row>
    <x:row r="173">
      <x:c r="A173" s="132"/>
      <x:c r="B173" s="103"/>
      <x:c r="C173" s="103"/>
      <x:c r="D173" s="103" t="str">
        <x:f>IF(C173="","",IF(OR(C173="Biologia",C173="Quimica",C173="Fisica"),"Ciencias da Natureza",IF(C173="Humanas","Ciencias Humanas",C173)))</x:f>
      </x:c>
      <x:c r="E173" s="103"/>
      <x:c r="F173" s="103"/>
      <x:c r="G173" s="133"/>
      <x:c r="H173" s="133"/>
      <x:c r="I173" s="105" t="str">
        <x:f>IF(G173=0,"",H173/G173)</x:f>
      </x:c>
      <x:c r="J173" s="107" t="str">
        <x:f>IF(C173="","",IF(OR(C173="Biologia",C173="Quimica",C173="Fisica"),3,IF(OR(C173="Redacao",C173="Linguagens"),2,1.5)))</x:f>
      </x:c>
      <x:c r="K173" s="107" t="str">
        <x:f>IF(OR(G173=0,J173=""),"",H173*J173)</x:f>
      </x:c>
      <x:c r="L173" s="103"/>
      <x:c r="M173" s="103"/>
      <x:c r="N173" s="103"/>
    </x:row>
    <x:row r="174">
      <x:c r="A174" s="132"/>
      <x:c r="B174" s="103"/>
      <x:c r="C174" s="103"/>
      <x:c r="D174" s="103" t="str">
        <x:f>IF(C174="","",IF(OR(C174="Biologia",C174="Quimica",C174="Fisica"),"Ciencias da Natureza",IF(C174="Humanas","Ciencias Humanas",C174)))</x:f>
      </x:c>
      <x:c r="E174" s="103"/>
      <x:c r="F174" s="103"/>
      <x:c r="G174" s="133"/>
      <x:c r="H174" s="133"/>
      <x:c r="I174" s="105" t="str">
        <x:f>IF(G174=0,"",H174/G174)</x:f>
      </x:c>
      <x:c r="J174" s="107" t="str">
        <x:f>IF(C174="","",IF(OR(C174="Biologia",C174="Quimica",C174="Fisica"),3,IF(OR(C174="Redacao",C174="Linguagens"),2,1.5)))</x:f>
      </x:c>
      <x:c r="K174" s="107" t="str">
        <x:f>IF(OR(G174=0,J174=""),"",H174*J174)</x:f>
      </x:c>
      <x:c r="L174" s="103"/>
      <x:c r="M174" s="103"/>
      <x:c r="N174" s="103"/>
    </x:row>
    <x:row r="175">
      <x:c r="A175" s="132"/>
      <x:c r="B175" s="103"/>
      <x:c r="C175" s="103"/>
      <x:c r="D175" s="103" t="str">
        <x:f>IF(C175="","",IF(OR(C175="Biologia",C175="Quimica",C175="Fisica"),"Ciencias da Natureza",IF(C175="Humanas","Ciencias Humanas",C175)))</x:f>
      </x:c>
      <x:c r="E175" s="103"/>
      <x:c r="F175" s="103"/>
      <x:c r="G175" s="133"/>
      <x:c r="H175" s="133"/>
      <x:c r="I175" s="105" t="str">
        <x:f>IF(G175=0,"",H175/G175)</x:f>
      </x:c>
      <x:c r="J175" s="107" t="str">
        <x:f>IF(C175="","",IF(OR(C175="Biologia",C175="Quimica",C175="Fisica"),3,IF(OR(C175="Redacao",C175="Linguagens"),2,1.5)))</x:f>
      </x:c>
      <x:c r="K175" s="107" t="str">
        <x:f>IF(OR(G175=0,J175=""),"",H175*J175)</x:f>
      </x:c>
      <x:c r="L175" s="103"/>
      <x:c r="M175" s="103"/>
      <x:c r="N175" s="103"/>
    </x:row>
    <x:row r="176">
      <x:c r="A176" s="132"/>
      <x:c r="B176" s="103"/>
      <x:c r="C176" s="103"/>
      <x:c r="D176" s="103" t="str">
        <x:f>IF(C176="","",IF(OR(C176="Biologia",C176="Quimica",C176="Fisica"),"Ciencias da Natureza",IF(C176="Humanas","Ciencias Humanas",C176)))</x:f>
      </x:c>
      <x:c r="E176" s="103"/>
      <x:c r="F176" s="103"/>
      <x:c r="G176" s="133"/>
      <x:c r="H176" s="133"/>
      <x:c r="I176" s="105" t="str">
        <x:f>IF(G176=0,"",H176/G176)</x:f>
      </x:c>
      <x:c r="J176" s="107" t="str">
        <x:f>IF(C176="","",IF(OR(C176="Biologia",C176="Quimica",C176="Fisica"),3,IF(OR(C176="Redacao",C176="Linguagens"),2,1.5)))</x:f>
      </x:c>
      <x:c r="K176" s="107" t="str">
        <x:f>IF(OR(G176=0,J176=""),"",H176*J176)</x:f>
      </x:c>
      <x:c r="L176" s="103"/>
      <x:c r="M176" s="103"/>
      <x:c r="N176" s="103"/>
    </x:row>
    <x:row r="177">
      <x:c r="A177" s="132"/>
      <x:c r="B177" s="103"/>
      <x:c r="C177" s="103"/>
      <x:c r="D177" s="103" t="str">
        <x:f>IF(C177="","",IF(OR(C177="Biologia",C177="Quimica",C177="Fisica"),"Ciencias da Natureza",IF(C177="Humanas","Ciencias Humanas",C177)))</x:f>
      </x:c>
      <x:c r="E177" s="103"/>
      <x:c r="F177" s="103"/>
      <x:c r="G177" s="133"/>
      <x:c r="H177" s="133"/>
      <x:c r="I177" s="105" t="str">
        <x:f>IF(G177=0,"",H177/G177)</x:f>
      </x:c>
      <x:c r="J177" s="107" t="str">
        <x:f>IF(C177="","",IF(OR(C177="Biologia",C177="Quimica",C177="Fisica"),3,IF(OR(C177="Redacao",C177="Linguagens"),2,1.5)))</x:f>
      </x:c>
      <x:c r="K177" s="107" t="str">
        <x:f>IF(OR(G177=0,J177=""),"",H177*J177)</x:f>
      </x:c>
      <x:c r="L177" s="103"/>
      <x:c r="M177" s="103"/>
      <x:c r="N177" s="103"/>
    </x:row>
    <x:row r="178">
      <x:c r="A178" s="132"/>
      <x:c r="B178" s="103"/>
      <x:c r="C178" s="103"/>
      <x:c r="D178" s="103" t="str">
        <x:f>IF(C178="","",IF(OR(C178="Biologia",C178="Quimica",C178="Fisica"),"Ciencias da Natureza",IF(C178="Humanas","Ciencias Humanas",C178)))</x:f>
      </x:c>
      <x:c r="E178" s="103"/>
      <x:c r="F178" s="103"/>
      <x:c r="G178" s="133"/>
      <x:c r="H178" s="133"/>
      <x:c r="I178" s="105" t="str">
        <x:f>IF(G178=0,"",H178/G178)</x:f>
      </x:c>
      <x:c r="J178" s="107" t="str">
        <x:f>IF(C178="","",IF(OR(C178="Biologia",C178="Quimica",C178="Fisica"),3,IF(OR(C178="Redacao",C178="Linguagens"),2,1.5)))</x:f>
      </x:c>
      <x:c r="K178" s="107" t="str">
        <x:f>IF(OR(G178=0,J178=""),"",H178*J178)</x:f>
      </x:c>
      <x:c r="L178" s="103"/>
      <x:c r="M178" s="103"/>
      <x:c r="N178" s="103"/>
    </x:row>
    <x:row r="179">
      <x:c r="A179" s="132"/>
      <x:c r="B179" s="103"/>
      <x:c r="C179" s="103"/>
      <x:c r="D179" s="103" t="str">
        <x:f>IF(C179="","",IF(OR(C179="Biologia",C179="Quimica",C179="Fisica"),"Ciencias da Natureza",IF(C179="Humanas","Ciencias Humanas",C179)))</x:f>
      </x:c>
      <x:c r="E179" s="103"/>
      <x:c r="F179" s="103"/>
      <x:c r="G179" s="133"/>
      <x:c r="H179" s="133"/>
      <x:c r="I179" s="105" t="str">
        <x:f>IF(G179=0,"",H179/G179)</x:f>
      </x:c>
      <x:c r="J179" s="107" t="str">
        <x:f>IF(C179="","",IF(OR(C179="Biologia",C179="Quimica",C179="Fisica"),3,IF(OR(C179="Redacao",C179="Linguagens"),2,1.5)))</x:f>
      </x:c>
      <x:c r="K179" s="107" t="str">
        <x:f>IF(OR(G179=0,J179=""),"",H179*J179)</x:f>
      </x:c>
      <x:c r="L179" s="103"/>
      <x:c r="M179" s="103"/>
      <x:c r="N179" s="103"/>
    </x:row>
    <x:row r="180">
      <x:c r="A180" s="132"/>
      <x:c r="B180" s="103"/>
      <x:c r="C180" s="103"/>
      <x:c r="D180" s="103" t="str">
        <x:f>IF(C180="","",IF(OR(C180="Biologia",C180="Quimica",C180="Fisica"),"Ciencias da Natureza",IF(C180="Humanas","Ciencias Humanas",C180)))</x:f>
      </x:c>
      <x:c r="E180" s="103"/>
      <x:c r="F180" s="103"/>
      <x:c r="G180" s="133"/>
      <x:c r="H180" s="133"/>
      <x:c r="I180" s="105" t="str">
        <x:f>IF(G180=0,"",H180/G180)</x:f>
      </x:c>
      <x:c r="J180" s="107" t="str">
        <x:f>IF(C180="","",IF(OR(C180="Biologia",C180="Quimica",C180="Fisica"),3,IF(OR(C180="Redacao",C180="Linguagens"),2,1.5)))</x:f>
      </x:c>
      <x:c r="K180" s="107" t="str">
        <x:f>IF(OR(G180=0,J180=""),"",H180*J180)</x:f>
      </x:c>
      <x:c r="L180" s="103"/>
      <x:c r="M180" s="103"/>
      <x:c r="N180" s="103"/>
    </x:row>
    <x:row r="181">
      <x:c r="A181" s="132"/>
      <x:c r="B181" s="103"/>
      <x:c r="C181" s="103"/>
      <x:c r="D181" s="103" t="str">
        <x:f>IF(C181="","",IF(OR(C181="Biologia",C181="Quimica",C181="Fisica"),"Ciencias da Natureza",IF(C181="Humanas","Ciencias Humanas",C181)))</x:f>
      </x:c>
      <x:c r="E181" s="103"/>
      <x:c r="F181" s="103"/>
      <x:c r="G181" s="133"/>
      <x:c r="H181" s="133"/>
      <x:c r="I181" s="105" t="str">
        <x:f>IF(G181=0,"",H181/G181)</x:f>
      </x:c>
      <x:c r="J181" s="107" t="str">
        <x:f>IF(C181="","",IF(OR(C181="Biologia",C181="Quimica",C181="Fisica"),3,IF(OR(C181="Redacao",C181="Linguagens"),2,1.5)))</x:f>
      </x:c>
      <x:c r="K181" s="107" t="str">
        <x:f>IF(OR(G181=0,J181=""),"",H181*J181)</x:f>
      </x:c>
      <x:c r="L181" s="103"/>
      <x:c r="M181" s="103"/>
      <x:c r="N181" s="103"/>
    </x:row>
    <x:row r="182">
      <x:c r="A182" s="132"/>
      <x:c r="B182" s="103"/>
      <x:c r="C182" s="103"/>
      <x:c r="D182" s="103" t="str">
        <x:f>IF(C182="","",IF(OR(C182="Biologia",C182="Quimica",C182="Fisica"),"Ciencias da Natureza",IF(C182="Humanas","Ciencias Humanas",C182)))</x:f>
      </x:c>
      <x:c r="E182" s="103"/>
      <x:c r="F182" s="103"/>
      <x:c r="G182" s="133"/>
      <x:c r="H182" s="133"/>
      <x:c r="I182" s="105" t="str">
        <x:f>IF(G182=0,"",H182/G182)</x:f>
      </x:c>
      <x:c r="J182" s="107" t="str">
        <x:f>IF(C182="","",IF(OR(C182="Biologia",C182="Quimica",C182="Fisica"),3,IF(OR(C182="Redacao",C182="Linguagens"),2,1.5)))</x:f>
      </x:c>
      <x:c r="K182" s="107" t="str">
        <x:f>IF(OR(G182=0,J182=""),"",H182*J182)</x:f>
      </x:c>
      <x:c r="L182" s="103"/>
      <x:c r="M182" s="103"/>
      <x:c r="N182" s="103"/>
    </x:row>
    <x:row r="183">
      <x:c r="A183" s="132"/>
      <x:c r="B183" s="103"/>
      <x:c r="C183" s="103"/>
      <x:c r="D183" s="103" t="str">
        <x:f>IF(C183="","",IF(OR(C183="Biologia",C183="Quimica",C183="Fisica"),"Ciencias da Natureza",IF(C183="Humanas","Ciencias Humanas",C183)))</x:f>
      </x:c>
      <x:c r="E183" s="103"/>
      <x:c r="F183" s="103"/>
      <x:c r="G183" s="133"/>
      <x:c r="H183" s="133"/>
      <x:c r="I183" s="105" t="str">
        <x:f>IF(G183=0,"",H183/G183)</x:f>
      </x:c>
      <x:c r="J183" s="107" t="str">
        <x:f>IF(C183="","",IF(OR(C183="Biologia",C183="Quimica",C183="Fisica"),3,IF(OR(C183="Redacao",C183="Linguagens"),2,1.5)))</x:f>
      </x:c>
      <x:c r="K183" s="107" t="str">
        <x:f>IF(OR(G183=0,J183=""),"",H183*J183)</x:f>
      </x:c>
      <x:c r="L183" s="103"/>
      <x:c r="M183" s="103"/>
      <x:c r="N183" s="103"/>
    </x:row>
    <x:row r="184">
      <x:c r="A184" s="132"/>
      <x:c r="B184" s="103"/>
      <x:c r="C184" s="103"/>
      <x:c r="D184" s="103" t="str">
        <x:f>IF(C184="","",IF(OR(C184="Biologia",C184="Quimica",C184="Fisica"),"Ciencias da Natureza",IF(C184="Humanas","Ciencias Humanas",C184)))</x:f>
      </x:c>
      <x:c r="E184" s="103"/>
      <x:c r="F184" s="103"/>
      <x:c r="G184" s="133"/>
      <x:c r="H184" s="133"/>
      <x:c r="I184" s="105" t="str">
        <x:f>IF(G184=0,"",H184/G184)</x:f>
      </x:c>
      <x:c r="J184" s="107" t="str">
        <x:f>IF(C184="","",IF(OR(C184="Biologia",C184="Quimica",C184="Fisica"),3,IF(OR(C184="Redacao",C184="Linguagens"),2,1.5)))</x:f>
      </x:c>
      <x:c r="K184" s="107" t="str">
        <x:f>IF(OR(G184=0,J184=""),"",H184*J184)</x:f>
      </x:c>
      <x:c r="L184" s="103"/>
      <x:c r="M184" s="103"/>
      <x:c r="N184" s="103"/>
    </x:row>
    <x:row r="185">
      <x:c r="A185" s="132"/>
      <x:c r="B185" s="103"/>
      <x:c r="C185" s="103"/>
      <x:c r="D185" s="103" t="str">
        <x:f>IF(C185="","",IF(OR(C185="Biologia",C185="Quimica",C185="Fisica"),"Ciencias da Natureza",IF(C185="Humanas","Ciencias Humanas",C185)))</x:f>
      </x:c>
      <x:c r="E185" s="103"/>
      <x:c r="F185" s="103"/>
      <x:c r="G185" s="133"/>
      <x:c r="H185" s="133"/>
      <x:c r="I185" s="105" t="str">
        <x:f>IF(G185=0,"",H185/G185)</x:f>
      </x:c>
      <x:c r="J185" s="107" t="str">
        <x:f>IF(C185="","",IF(OR(C185="Biologia",C185="Quimica",C185="Fisica"),3,IF(OR(C185="Redacao",C185="Linguagens"),2,1.5)))</x:f>
      </x:c>
      <x:c r="K185" s="107" t="str">
        <x:f>IF(OR(G185=0,J185=""),"",H185*J185)</x:f>
      </x:c>
      <x:c r="L185" s="103"/>
      <x:c r="M185" s="103"/>
      <x:c r="N185" s="103"/>
    </x:row>
    <x:row r="186">
      <x:c r="A186" s="132"/>
      <x:c r="B186" s="103"/>
      <x:c r="C186" s="103"/>
      <x:c r="D186" s="103" t="str">
        <x:f>IF(C186="","",IF(OR(C186="Biologia",C186="Quimica",C186="Fisica"),"Ciencias da Natureza",IF(C186="Humanas","Ciencias Humanas",C186)))</x:f>
      </x:c>
      <x:c r="E186" s="103"/>
      <x:c r="F186" s="103"/>
      <x:c r="G186" s="133"/>
      <x:c r="H186" s="133"/>
      <x:c r="I186" s="105" t="str">
        <x:f>IF(G186=0,"",H186/G186)</x:f>
      </x:c>
      <x:c r="J186" s="107" t="str">
        <x:f>IF(C186="","",IF(OR(C186="Biologia",C186="Quimica",C186="Fisica"),3,IF(OR(C186="Redacao",C186="Linguagens"),2,1.5)))</x:f>
      </x:c>
      <x:c r="K186" s="107" t="str">
        <x:f>IF(OR(G186=0,J186=""),"",H186*J186)</x:f>
      </x:c>
      <x:c r="L186" s="103"/>
      <x:c r="M186" s="103"/>
      <x:c r="N186" s="103"/>
    </x:row>
    <x:row r="187">
      <x:c r="A187" s="132"/>
      <x:c r="B187" s="103"/>
      <x:c r="C187" s="103"/>
      <x:c r="D187" s="103" t="str">
        <x:f>IF(C187="","",IF(OR(C187="Biologia",C187="Quimica",C187="Fisica"),"Ciencias da Natureza",IF(C187="Humanas","Ciencias Humanas",C187)))</x:f>
      </x:c>
      <x:c r="E187" s="103"/>
      <x:c r="F187" s="103"/>
      <x:c r="G187" s="133"/>
      <x:c r="H187" s="133"/>
      <x:c r="I187" s="105" t="str">
        <x:f>IF(G187=0,"",H187/G187)</x:f>
      </x:c>
      <x:c r="J187" s="107" t="str">
        <x:f>IF(C187="","",IF(OR(C187="Biologia",C187="Quimica",C187="Fisica"),3,IF(OR(C187="Redacao",C187="Linguagens"),2,1.5)))</x:f>
      </x:c>
      <x:c r="K187" s="107" t="str">
        <x:f>IF(OR(G187=0,J187=""),"",H187*J187)</x:f>
      </x:c>
      <x:c r="L187" s="103"/>
      <x:c r="M187" s="103"/>
      <x:c r="N187" s="103"/>
    </x:row>
    <x:row r="188">
      <x:c r="A188" s="132"/>
      <x:c r="B188" s="103"/>
      <x:c r="C188" s="103"/>
      <x:c r="D188" s="103" t="str">
        <x:f>IF(C188="","",IF(OR(C188="Biologia",C188="Quimica",C188="Fisica"),"Ciencias da Natureza",IF(C188="Humanas","Ciencias Humanas",C188)))</x:f>
      </x:c>
      <x:c r="E188" s="103"/>
      <x:c r="F188" s="103"/>
      <x:c r="G188" s="133"/>
      <x:c r="H188" s="133"/>
      <x:c r="I188" s="105" t="str">
        <x:f>IF(G188=0,"",H188/G188)</x:f>
      </x:c>
      <x:c r="J188" s="107" t="str">
        <x:f>IF(C188="","",IF(OR(C188="Biologia",C188="Quimica",C188="Fisica"),3,IF(OR(C188="Redacao",C188="Linguagens"),2,1.5)))</x:f>
      </x:c>
      <x:c r="K188" s="107" t="str">
        <x:f>IF(OR(G188=0,J188=""),"",H188*J188)</x:f>
      </x:c>
      <x:c r="L188" s="103"/>
      <x:c r="M188" s="103"/>
      <x:c r="N188" s="103"/>
    </x:row>
    <x:row r="189">
      <x:c r="A189" s="132"/>
      <x:c r="B189" s="103"/>
      <x:c r="C189" s="103"/>
      <x:c r="D189" s="103" t="str">
        <x:f>IF(C189="","",IF(OR(C189="Biologia",C189="Quimica",C189="Fisica"),"Ciencias da Natureza",IF(C189="Humanas","Ciencias Humanas",C189)))</x:f>
      </x:c>
      <x:c r="E189" s="103"/>
      <x:c r="F189" s="103"/>
      <x:c r="G189" s="133"/>
      <x:c r="H189" s="133"/>
      <x:c r="I189" s="105" t="str">
        <x:f>IF(G189=0,"",H189/G189)</x:f>
      </x:c>
      <x:c r="J189" s="107" t="str">
        <x:f>IF(C189="","",IF(OR(C189="Biologia",C189="Quimica",C189="Fisica"),3,IF(OR(C189="Redacao",C189="Linguagens"),2,1.5)))</x:f>
      </x:c>
      <x:c r="K189" s="107" t="str">
        <x:f>IF(OR(G189=0,J189=""),"",H189*J189)</x:f>
      </x:c>
      <x:c r="L189" s="103"/>
      <x:c r="M189" s="103"/>
      <x:c r="N189" s="103"/>
    </x:row>
    <x:row r="190">
      <x:c r="A190" s="132"/>
      <x:c r="B190" s="103"/>
      <x:c r="C190" s="103"/>
      <x:c r="D190" s="103" t="str">
        <x:f>IF(C190="","",IF(OR(C190="Biologia",C190="Quimica",C190="Fisica"),"Ciencias da Natureza",IF(C190="Humanas","Ciencias Humanas",C190)))</x:f>
      </x:c>
      <x:c r="E190" s="103"/>
      <x:c r="F190" s="103"/>
      <x:c r="G190" s="133"/>
      <x:c r="H190" s="133"/>
      <x:c r="I190" s="105" t="str">
        <x:f>IF(G190=0,"",H190/G190)</x:f>
      </x:c>
      <x:c r="J190" s="107" t="str">
        <x:f>IF(C190="","",IF(OR(C190="Biologia",C190="Quimica",C190="Fisica"),3,IF(OR(C190="Redacao",C190="Linguagens"),2,1.5)))</x:f>
      </x:c>
      <x:c r="K190" s="107" t="str">
        <x:f>IF(OR(G190=0,J190=""),"",H190*J190)</x:f>
      </x:c>
      <x:c r="L190" s="103"/>
      <x:c r="M190" s="103"/>
      <x:c r="N190" s="103"/>
    </x:row>
    <x:row r="191">
      <x:c r="A191" s="132"/>
      <x:c r="B191" s="103"/>
      <x:c r="C191" s="103"/>
      <x:c r="D191" s="103" t="str">
        <x:f>IF(C191="","",IF(OR(C191="Biologia",C191="Quimica",C191="Fisica"),"Ciencias da Natureza",IF(C191="Humanas","Ciencias Humanas",C191)))</x:f>
      </x:c>
      <x:c r="E191" s="103"/>
      <x:c r="F191" s="103"/>
      <x:c r="G191" s="133"/>
      <x:c r="H191" s="133"/>
      <x:c r="I191" s="105" t="str">
        <x:f>IF(G191=0,"",H191/G191)</x:f>
      </x:c>
      <x:c r="J191" s="107" t="str">
        <x:f>IF(C191="","",IF(OR(C191="Biologia",C191="Quimica",C191="Fisica"),3,IF(OR(C191="Redacao",C191="Linguagens"),2,1.5)))</x:f>
      </x:c>
      <x:c r="K191" s="107" t="str">
        <x:f>IF(OR(G191=0,J191=""),"",H191*J191)</x:f>
      </x:c>
      <x:c r="L191" s="103"/>
      <x:c r="M191" s="103"/>
      <x:c r="N191" s="103"/>
    </x:row>
    <x:row r="192">
      <x:c r="A192" s="132"/>
      <x:c r="B192" s="103"/>
      <x:c r="C192" s="103"/>
      <x:c r="D192" s="103" t="str">
        <x:f>IF(C192="","",IF(OR(C192="Biologia",C192="Quimica",C192="Fisica"),"Ciencias da Natureza",IF(C192="Humanas","Ciencias Humanas",C192)))</x:f>
      </x:c>
      <x:c r="E192" s="103"/>
      <x:c r="F192" s="103"/>
      <x:c r="G192" s="133"/>
      <x:c r="H192" s="133"/>
      <x:c r="I192" s="105" t="str">
        <x:f>IF(G192=0,"",H192/G192)</x:f>
      </x:c>
      <x:c r="J192" s="107" t="str">
        <x:f>IF(C192="","",IF(OR(C192="Biologia",C192="Quimica",C192="Fisica"),3,IF(OR(C192="Redacao",C192="Linguagens"),2,1.5)))</x:f>
      </x:c>
      <x:c r="K192" s="107" t="str">
        <x:f>IF(OR(G192=0,J192=""),"",H192*J192)</x:f>
      </x:c>
      <x:c r="L192" s="103"/>
      <x:c r="M192" s="103"/>
      <x:c r="N192" s="103"/>
    </x:row>
    <x:row r="193">
      <x:c r="A193" s="132"/>
      <x:c r="B193" s="103"/>
      <x:c r="C193" s="103"/>
      <x:c r="D193" s="103" t="str">
        <x:f>IF(C193="","",IF(OR(C193="Biologia",C193="Quimica",C193="Fisica"),"Ciencias da Natureza",IF(C193="Humanas","Ciencias Humanas",C193)))</x:f>
      </x:c>
      <x:c r="E193" s="103"/>
      <x:c r="F193" s="103"/>
      <x:c r="G193" s="133"/>
      <x:c r="H193" s="133"/>
      <x:c r="I193" s="105" t="str">
        <x:f>IF(G193=0,"",H193/G193)</x:f>
      </x:c>
      <x:c r="J193" s="107" t="str">
        <x:f>IF(C193="","",IF(OR(C193="Biologia",C193="Quimica",C193="Fisica"),3,IF(OR(C193="Redacao",C193="Linguagens"),2,1.5)))</x:f>
      </x:c>
      <x:c r="K193" s="107" t="str">
        <x:f>IF(OR(G193=0,J193=""),"",H193*J193)</x:f>
      </x:c>
      <x:c r="L193" s="103"/>
      <x:c r="M193" s="103"/>
      <x:c r="N193" s="103"/>
    </x:row>
    <x:row r="194">
      <x:c r="A194" s="132"/>
      <x:c r="B194" s="103"/>
      <x:c r="C194" s="103"/>
      <x:c r="D194" s="103" t="str">
        <x:f>IF(C194="","",IF(OR(C194="Biologia",C194="Quimica",C194="Fisica"),"Ciencias da Natureza",IF(C194="Humanas","Ciencias Humanas",C194)))</x:f>
      </x:c>
      <x:c r="E194" s="103"/>
      <x:c r="F194" s="103"/>
      <x:c r="G194" s="133"/>
      <x:c r="H194" s="133"/>
      <x:c r="I194" s="105" t="str">
        <x:f>IF(G194=0,"",H194/G194)</x:f>
      </x:c>
      <x:c r="J194" s="107" t="str">
        <x:f>IF(C194="","",IF(OR(C194="Biologia",C194="Quimica",C194="Fisica"),3,IF(OR(C194="Redacao",C194="Linguagens"),2,1.5)))</x:f>
      </x:c>
      <x:c r="K194" s="107" t="str">
        <x:f>IF(OR(G194=0,J194=""),"",H194*J194)</x:f>
      </x:c>
      <x:c r="L194" s="103"/>
      <x:c r="M194" s="103"/>
      <x:c r="N194" s="103"/>
    </x:row>
    <x:row r="195">
      <x:c r="A195" s="132"/>
      <x:c r="B195" s="103"/>
      <x:c r="C195" s="103"/>
      <x:c r="D195" s="103" t="str">
        <x:f>IF(C195="","",IF(OR(C195="Biologia",C195="Quimica",C195="Fisica"),"Ciencias da Natureza",IF(C195="Humanas","Ciencias Humanas",C195)))</x:f>
      </x:c>
      <x:c r="E195" s="103"/>
      <x:c r="F195" s="103"/>
      <x:c r="G195" s="133"/>
      <x:c r="H195" s="133"/>
      <x:c r="I195" s="105" t="str">
        <x:f>IF(G195=0,"",H195/G195)</x:f>
      </x:c>
      <x:c r="J195" s="107" t="str">
        <x:f>IF(C195="","",IF(OR(C195="Biologia",C195="Quimica",C195="Fisica"),3,IF(OR(C195="Redacao",C195="Linguagens"),2,1.5)))</x:f>
      </x:c>
      <x:c r="K195" s="107" t="str">
        <x:f>IF(OR(G195=0,J195=""),"",H195*J195)</x:f>
      </x:c>
      <x:c r="L195" s="103"/>
      <x:c r="M195" s="103"/>
      <x:c r="N195" s="103"/>
    </x:row>
    <x:row r="196">
      <x:c r="A196" s="132"/>
      <x:c r="B196" s="103"/>
      <x:c r="C196" s="103"/>
      <x:c r="D196" s="103" t="str">
        <x:f>IF(C196="","",IF(OR(C196="Biologia",C196="Quimica",C196="Fisica"),"Ciencias da Natureza",IF(C196="Humanas","Ciencias Humanas",C196)))</x:f>
      </x:c>
      <x:c r="E196" s="103"/>
      <x:c r="F196" s="103"/>
      <x:c r="G196" s="133"/>
      <x:c r="H196" s="133"/>
      <x:c r="I196" s="105" t="str">
        <x:f>IF(G196=0,"",H196/G196)</x:f>
      </x:c>
      <x:c r="J196" s="107" t="str">
        <x:f>IF(C196="","",IF(OR(C196="Biologia",C196="Quimica",C196="Fisica"),3,IF(OR(C196="Redacao",C196="Linguagens"),2,1.5)))</x:f>
      </x:c>
      <x:c r="K196" s="107" t="str">
        <x:f>IF(OR(G196=0,J196=""),"",H196*J196)</x:f>
      </x:c>
      <x:c r="L196" s="103"/>
      <x:c r="M196" s="103"/>
      <x:c r="N196" s="103"/>
    </x:row>
    <x:row r="197">
      <x:c r="A197" s="132"/>
      <x:c r="B197" s="103"/>
      <x:c r="C197" s="103"/>
      <x:c r="D197" s="103" t="str">
        <x:f>IF(C197="","",IF(OR(C197="Biologia",C197="Quimica",C197="Fisica"),"Ciencias da Natureza",IF(C197="Humanas","Ciencias Humanas",C197)))</x:f>
      </x:c>
      <x:c r="E197" s="103"/>
      <x:c r="F197" s="103"/>
      <x:c r="G197" s="133"/>
      <x:c r="H197" s="133"/>
      <x:c r="I197" s="105" t="str">
        <x:f>IF(G197=0,"",H197/G197)</x:f>
      </x:c>
      <x:c r="J197" s="107" t="str">
        <x:f>IF(C197="","",IF(OR(C197="Biologia",C197="Quimica",C197="Fisica"),3,IF(OR(C197="Redacao",C197="Linguagens"),2,1.5)))</x:f>
      </x:c>
      <x:c r="K197" s="107" t="str">
        <x:f>IF(OR(G197=0,J197=""),"",H197*J197)</x:f>
      </x:c>
      <x:c r="L197" s="103"/>
      <x:c r="M197" s="103"/>
      <x:c r="N197" s="103"/>
    </x:row>
    <x:row r="198">
      <x:c r="A198" s="132"/>
      <x:c r="B198" s="103"/>
      <x:c r="C198" s="103"/>
      <x:c r="D198" s="103" t="str">
        <x:f>IF(C198="","",IF(OR(C198="Biologia",C198="Quimica",C198="Fisica"),"Ciencias da Natureza",IF(C198="Humanas","Ciencias Humanas",C198)))</x:f>
      </x:c>
      <x:c r="E198" s="103"/>
      <x:c r="F198" s="103"/>
      <x:c r="G198" s="133"/>
      <x:c r="H198" s="133"/>
      <x:c r="I198" s="105" t="str">
        <x:f>IF(G198=0,"",H198/G198)</x:f>
      </x:c>
      <x:c r="J198" s="107" t="str">
        <x:f>IF(C198="","",IF(OR(C198="Biologia",C198="Quimica",C198="Fisica"),3,IF(OR(C198="Redacao",C198="Linguagens"),2,1.5)))</x:f>
      </x:c>
      <x:c r="K198" s="107" t="str">
        <x:f>IF(OR(G198=0,J198=""),"",H198*J198)</x:f>
      </x:c>
      <x:c r="L198" s="103"/>
      <x:c r="M198" s="103"/>
      <x:c r="N198" s="103"/>
    </x:row>
    <x:row r="199">
      <x:c r="A199" s="132"/>
      <x:c r="B199" s="103"/>
      <x:c r="C199" s="103"/>
      <x:c r="D199" s="103" t="str">
        <x:f>IF(C199="","",IF(OR(C199="Biologia",C199="Quimica",C199="Fisica"),"Ciencias da Natureza",IF(C199="Humanas","Ciencias Humanas",C199)))</x:f>
      </x:c>
      <x:c r="E199" s="103"/>
      <x:c r="F199" s="103"/>
      <x:c r="G199" s="133"/>
      <x:c r="H199" s="133"/>
      <x:c r="I199" s="105" t="str">
        <x:f>IF(G199=0,"",H199/G199)</x:f>
      </x:c>
      <x:c r="J199" s="107" t="str">
        <x:f>IF(C199="","",IF(OR(C199="Biologia",C199="Quimica",C199="Fisica"),3,IF(OR(C199="Redacao",C199="Linguagens"),2,1.5)))</x:f>
      </x:c>
      <x:c r="K199" s="107" t="str">
        <x:f>IF(OR(G199=0,J199=""),"",H199*J199)</x:f>
      </x:c>
      <x:c r="L199" s="103"/>
      <x:c r="M199" s="103"/>
      <x:c r="N199" s="103"/>
    </x:row>
    <x:row r="200">
      <x:c r="A200" s="132"/>
      <x:c r="B200" s="103"/>
      <x:c r="C200" s="103"/>
      <x:c r="D200" s="103" t="str">
        <x:f>IF(C200="","",IF(OR(C200="Biologia",C200="Quimica",C200="Fisica"),"Ciencias da Natureza",IF(C200="Humanas","Ciencias Humanas",C200)))</x:f>
      </x:c>
      <x:c r="E200" s="103"/>
      <x:c r="F200" s="103"/>
      <x:c r="G200" s="133"/>
      <x:c r="H200" s="133"/>
      <x:c r="I200" s="105" t="str">
        <x:f>IF(G200=0,"",H200/G200)</x:f>
      </x:c>
      <x:c r="J200" s="107" t="str">
        <x:f>IF(C200="","",IF(OR(C200="Biologia",C200="Quimica",C200="Fisica"),3,IF(OR(C200="Redacao",C200="Linguagens"),2,1.5)))</x:f>
      </x:c>
      <x:c r="K200" s="107" t="str">
        <x:f>IF(OR(G200=0,J200=""),"",H200*J200)</x:f>
      </x:c>
      <x:c r="L200" s="103"/>
      <x:c r="M200" s="103"/>
      <x:c r="N200" s="103"/>
    </x:row>
    <x:row r="201">
      <x:c r="A201" s="132"/>
      <x:c r="B201" s="103"/>
      <x:c r="C201" s="103"/>
      <x:c r="D201" s="103" t="str">
        <x:f>IF(C201="","",IF(OR(C201="Biologia",C201="Quimica",C201="Fisica"),"Ciencias da Natureza",IF(C201="Humanas","Ciencias Humanas",C201)))</x:f>
      </x:c>
      <x:c r="E201" s="103"/>
      <x:c r="F201" s="103"/>
      <x:c r="G201" s="133"/>
      <x:c r="H201" s="133"/>
      <x:c r="I201" s="105" t="str">
        <x:f>IF(G201=0,"",H201/G201)</x:f>
      </x:c>
      <x:c r="J201" s="107" t="str">
        <x:f>IF(C201="","",IF(OR(C201="Biologia",C201="Quimica",C201="Fisica"),3,IF(OR(C201="Redacao",C201="Linguagens"),2,1.5)))</x:f>
      </x:c>
      <x:c r="K201" s="107" t="str">
        <x:f>IF(OR(G201=0,J201=""),"",H201*J201)</x:f>
      </x:c>
      <x:c r="L201" s="103"/>
      <x:c r="M201" s="103"/>
      <x:c r="N201" s="103"/>
    </x:row>
    <x:row r="202">
      <x:c r="A202" s="132"/>
      <x:c r="B202" s="103"/>
      <x:c r="C202" s="103"/>
      <x:c r="D202" s="103" t="str">
        <x:f>IF(C202="","",IF(OR(C202="Biologia",C202="Quimica",C202="Fisica"),"Ciencias da Natureza",IF(C202="Humanas","Ciencias Humanas",C202)))</x:f>
      </x:c>
      <x:c r="E202" s="103"/>
      <x:c r="F202" s="103"/>
      <x:c r="G202" s="133"/>
      <x:c r="H202" s="133"/>
      <x:c r="I202" s="105" t="str">
        <x:f>IF(G202=0,"",H202/G202)</x:f>
      </x:c>
      <x:c r="J202" s="107" t="str">
        <x:f>IF(C202="","",IF(OR(C202="Biologia",C202="Quimica",C202="Fisica"),3,IF(OR(C202="Redacao",C202="Linguagens"),2,1.5)))</x:f>
      </x:c>
      <x:c r="K202" s="107" t="str">
        <x:f>IF(OR(G202=0,J202=""),"",H202*J202)</x:f>
      </x:c>
      <x:c r="L202" s="103"/>
      <x:c r="M202" s="103"/>
      <x:c r="N202" s="103"/>
    </x:row>
    <x:row r="203">
      <x:c r="A203" s="132"/>
      <x:c r="B203" s="103"/>
      <x:c r="C203" s="103"/>
      <x:c r="D203" s="103" t="str">
        <x:f>IF(C203="","",IF(OR(C203="Biologia",C203="Quimica",C203="Fisica"),"Ciencias da Natureza",IF(C203="Humanas","Ciencias Humanas",C203)))</x:f>
      </x:c>
      <x:c r="E203" s="103"/>
      <x:c r="F203" s="103"/>
      <x:c r="G203" s="133"/>
      <x:c r="H203" s="133"/>
      <x:c r="I203" s="105" t="str">
        <x:f>IF(G203=0,"",H203/G203)</x:f>
      </x:c>
      <x:c r="J203" s="107" t="str">
        <x:f>IF(C203="","",IF(OR(C203="Biologia",C203="Quimica",C203="Fisica"),3,IF(OR(C203="Redacao",C203="Linguagens"),2,1.5)))</x:f>
      </x:c>
      <x:c r="K203" s="107" t="str">
        <x:f>IF(OR(G203=0,J203=""),"",H203*J203)</x:f>
      </x:c>
      <x:c r="L203" s="103"/>
      <x:c r="M203" s="103"/>
      <x:c r="N203" s="103"/>
    </x:row>
    <x:row r="204">
      <x:c r="A204" s="134"/>
      <x:c r="B204" s="135"/>
      <x:c r="C204" s="135"/>
      <x:c r="D204" s="135" t="str">
        <x:f>IF(C204="","",IF(OR(C204="Biologia",C204="Quimica",C204="Fisica"),"Ciencias da Natureza",IF(C204="Humanas","Ciencias Humanas",C204)))</x:f>
      </x:c>
      <x:c r="E204" s="135"/>
      <x:c r="F204" s="135"/>
      <x:c r="G204" s="136"/>
      <x:c r="H204" s="136"/>
      <x:c r="I204" s="110" t="str">
        <x:f>IF(G204=0,"",H204/G204)</x:f>
      </x:c>
      <x:c r="J204" s="109" t="str">
        <x:f>IF(C204="","",IF(OR(C204="Biologia",C204="Quimica",C204="Fisica"),3,IF(OR(C204="Redacao",C204="Linguagens"),2,1.5)))</x:f>
      </x:c>
      <x:c r="K204" s="109" t="str">
        <x:f>IF(OR(G204=0,J204=""),"",H204*J204)</x:f>
      </x:c>
      <x:c r="L204" s="135"/>
      <x:c r="M204" s="135"/>
      <x:c r="N204" s="135"/>
    </x:row>
  </x:sheetData>
  <x:mergeCells>
    <x:mergeCell ref="A1:N1"/>
    <x:mergeCell ref="A2:N2"/>
  </x:mergeCells>
  <x:conditionalFormatting sqref="I5:I204">
    <x:cfRule type="cellIs" dxfId="3" priority="1" operator="lessThan">
      <x:formula>0.6</x:formula>
    </x:cfRule>
    <x:cfRule type="cellIs" dxfId="4" priority="2" operator="greaterThanOrEqual">
      <x:formula>0.8</x:formula>
    </x:cfRule>
  </x:conditionalFormatting>
  <x:dataValidations count="3">
    <x:dataValidation type="list" sqref="C5:C204">
      <x:formula1>"Biologia,Quimica,Fisica,Redacao,Linguagens,Matematica,Humanas"</x:formula1>
    </x:dataValidation>
    <x:dataValidation type="list" sqref="L5:L204">
      <x:formula1>"Nao iniciado,Fazendo,Corrigido,Revisar,Dominado"</x:formula1>
    </x:dataValidation>
    <x:dataValidation type="list" sqref="M5:M204">
      <x:formula1>"Conteudo,Interpretacao,Calculo,Tempo,Distracao,Chute,Redacao - competencia"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1" hidden="0" customWidth="1"/>
    <x:col min="4" max="4" width="11" hidden="0" customWidth="1"/>
    <x:col min="5" max="5" width="10" hidden="0" customWidth="1"/>
    <x:col min="6" max="6" width="12" hidden="0" customWidth="1"/>
    <x:col min="7" max="7" width="12" hidden="0" customWidth="1"/>
    <x:col min="8" max="8" width="10" hidden="0" customWidth="1"/>
    <x:col min="9" max="9" width="10" hidden="0" customWidth="1"/>
    <x:col min="10" max="10" width="12" hidden="0" customWidth="1"/>
    <x:col min="11" max="11" width="12" hidden="0" customWidth="1"/>
    <x:col min="12" max="12" width="14" hidden="0" customWidth="1"/>
    <x:col min="13" max="13" width="14" hidden="0" customWidth="1"/>
    <x:col min="14" max="14" width="16" hidden="0" customWidth="1"/>
    <x:col min="15" max="15" width="16" hidden="0" customWidth="1"/>
    <x:col min="16" max="16" width="20" hidden="0" customWidth="1"/>
    <x:col min="17" max="17" width="36" hidden="0" customWidth="1"/>
  </x:cols>
  <x:sheetData>
    <x:row r="1" ht="25.5" customHeight="1">
      <x:c r="A1" s="141" t="str">
        <x:v>Controle de simulados por materia</x:v>
      </x:c>
      <x:c r="B1" s="141" t="str">
        <x:v>Controle de simulados por materia</x:v>
      </x:c>
      <x:c r="C1" s="141" t="str">
        <x:v>Controle de simulados por materia</x:v>
      </x:c>
      <x:c r="D1" s="141" t="str">
        <x:v>Controle de simulados por materia</x:v>
      </x:c>
      <x:c r="E1" s="141" t="str">
        <x:v>Controle de simulados por materia</x:v>
      </x:c>
      <x:c r="F1" s="141" t="str">
        <x:v>Controle de simulados por materia</x:v>
      </x:c>
      <x:c r="G1" s="141" t="str">
        <x:v>Controle de simulados por materia</x:v>
      </x:c>
      <x:c r="H1" s="141" t="str">
        <x:v>Controle de simulados por materia</x:v>
      </x:c>
      <x:c r="I1" s="141" t="str">
        <x:v>Controle de simulados por materia</x:v>
      </x:c>
      <x:c r="J1" s="141" t="str">
        <x:v>Controle de simulados por materia</x:v>
      </x:c>
      <x:c r="K1" s="141" t="str">
        <x:v>Controle de simulados por materia</x:v>
      </x:c>
      <x:c r="L1" s="141" t="str">
        <x:v>Controle de simulados por materia</x:v>
      </x:c>
      <x:c r="M1" s="141" t="str">
        <x:v>Controle de simulados por materia</x:v>
      </x:c>
      <x:c r="N1" s="141" t="str">
        <x:v>Controle de simulados por materia</x:v>
      </x:c>
      <x:c r="O1" s="141" t="str">
        <x:v>Controle de simulados por materia</x:v>
      </x:c>
      <x:c r="P1" s="141" t="str">
        <x:v>Controle de simulados por materia</x:v>
      </x:c>
      <x:c r="Q1" s="141" t="str">
        <x:v>Controle de simulados por materia</x:v>
      </x:c>
    </x:row>
    <x:row r="2">
      <x:c r="A2" s="102" t="str">
        <x:v>Registre Natureza separada em Biologia, Quimica e Fisica.</x:v>
      </x:c>
      <x:c r="B2" s="102" t="str">
        <x:v>Registre Natureza separada em Biologia, Quimica e Fisica.</x:v>
      </x:c>
      <x:c r="C2" s="102" t="str">
        <x:v>Registre Natureza separada em Biologia, Quimica e Fisica.</x:v>
      </x:c>
      <x:c r="D2" s="102" t="str">
        <x:v>Registre Natureza separada em Biologia, Quimica e Fisica.</x:v>
      </x:c>
      <x:c r="E2" s="102" t="str">
        <x:v>Registre Natureza separada em Biologia, Quimica e Fisica.</x:v>
      </x:c>
      <x:c r="F2" s="102" t="str">
        <x:v>Registre Natureza separada em Biologia, Quimica e Fisica.</x:v>
      </x:c>
      <x:c r="G2" s="102" t="str">
        <x:v>Registre Natureza separada em Biologia, Quimica e Fisica.</x:v>
      </x:c>
      <x:c r="H2" s="102" t="str">
        <x:v>Registre Natureza separada em Biologia, Quimica e Fisica.</x:v>
      </x:c>
      <x:c r="I2" s="102" t="str">
        <x:v>Registre Natureza separada em Biologia, Quimica e Fisica.</x:v>
      </x:c>
      <x:c r="J2" s="102" t="str">
        <x:v>Registre Natureza separada em Biologia, Quimica e Fisica.</x:v>
      </x:c>
      <x:c r="K2" s="102" t="str">
        <x:v>Registre Natureza separada em Biologia, Quimica e Fisica.</x:v>
      </x:c>
      <x:c r="L2" s="102" t="str">
        <x:v>Registre Natureza separada em Biologia, Quimica e Fisica.</x:v>
      </x:c>
      <x:c r="M2" s="102" t="str">
        <x:v>Registre Natureza separada em Biologia, Quimica e Fisica.</x:v>
      </x:c>
      <x:c r="N2" s="102" t="str">
        <x:v>Registre Natureza separada em Biologia, Quimica e Fisica.</x:v>
      </x:c>
      <x:c r="O2" s="102" t="str">
        <x:v>Registre Natureza separada em Biologia, Quimica e Fisica.</x:v>
      </x:c>
      <x:c r="P2" s="102" t="str">
        <x:v>Registre Natureza separada em Biologia, Quimica e Fisica.</x:v>
      </x:c>
      <x:c r="Q2" s="102" t="str">
        <x:v>Registre Natureza separada em Biologia, Quimica e Fisica.</x:v>
      </x:c>
    </x:row>
    <x:row r="3">
      <x:c r="A3" s="103"/>
      <x:c r="B3" s="103"/>
      <x:c r="C3" s="103"/>
      <x:c r="D3" s="103"/>
      <x:c r="E3" s="103"/>
      <x:c r="F3" s="103"/>
      <x:c r="G3" s="103"/>
      <x:c r="H3" s="103"/>
      <x:c r="I3" s="103"/>
      <x:c r="J3" s="103"/>
      <x:c r="K3" s="103"/>
      <x:c r="L3" s="103"/>
      <x:c r="M3" s="103"/>
      <x:c r="N3" s="103"/>
      <x:c r="O3" s="103"/>
      <x:c r="P3" s="103"/>
      <x:c r="Q3" s="103"/>
    </x:row>
    <x:row r="4">
      <x:c r="A4" s="82" t="str">
        <x:v>Data</x:v>
      </x:c>
      <x:c r="B4" s="83" t="str">
        <x:v>Simulado</x:v>
      </x:c>
      <x:c r="C4" s="83" t="str">
        <x:v>Biologia</x:v>
      </x:c>
      <x:c r="D4" s="83" t="str">
        <x:v>Quimica</x:v>
      </x:c>
      <x:c r="E4" s="83" t="str">
        <x:v>Fisica</x:v>
      </x:c>
      <x:c r="F4" s="83" t="str">
        <x:v>Linguagens</x:v>
      </x:c>
      <x:c r="G4" s="83" t="str">
        <x:v>Matematica</x:v>
      </x:c>
      <x:c r="H4" s="83" t="str">
        <x:v>Humanas</x:v>
      </x:c>
      <x:c r="I4" s="83" t="str">
        <x:v>Redacao</x:v>
      </x:c>
      <x:c r="J4" s="83" t="str">
        <x:v>Natureza</x:v>
      </x:c>
      <x:c r="K4" s="83" t="str">
        <x:v>Total obj.</x:v>
      </x:c>
      <x:c r="L4" s="83" t="str">
        <x:v>% obj.</x:v>
      </x:c>
      <x:c r="M4" s="83" t="str">
        <x:v>Pond. obj.</x:v>
      </x:c>
      <x:c r="N4" s="83" t="str">
        <x:v>Pond. total</x:v>
      </x:c>
      <x:c r="O4" s="83" t="str">
        <x:v>Tempo prova</x:v>
      </x:c>
      <x:c r="P4" s="83" t="str">
        <x:v>Prioridade</x:v>
      </x:c>
      <x:c r="Q4" s="83" t="str">
        <x:v>Decisao para semana</x:v>
      </x:c>
    </x:row>
    <x:row r="5">
      <x:c r="A5" s="132"/>
      <x:c r="B5" s="103" t="str">
        <x:v>Diagnostico D7</x:v>
      </x:c>
      <x:c r="C5" s="133"/>
      <x:c r="D5" s="133"/>
      <x:c r="E5" s="133"/>
      <x:c r="F5" s="133"/>
      <x:c r="G5" s="133"/>
      <x:c r="H5" s="133"/>
      <x:c r="I5" s="133"/>
      <x:c r="J5" s="133" t="n">
        <x:f>SUM(C5:E5)</x:f>
        <x:v>0</x:v>
      </x:c>
      <x:c r="K5" s="133" t="n">
        <x:f>SUM(C5:H5)</x:f>
        <x:v>0</x:v>
      </x:c>
      <x:c r="L5" s="105" t="str">
        <x:f>IF(K5=0,"",K5/180)</x:f>
      </x:c>
      <x:c r="M5" s="107" t="n">
        <x:f>(C5+D5+E5)*3+F5*2+G5*1.5+H5*1.5</x:f>
        <x:v>0</x:v>
      </x:c>
      <x:c r="N5" s="107" t="n">
        <x:f>M5+IF(I5="","",I5*2/100)</x:f>
        <x:v>0</x:v>
      </x:c>
      <x:c r="O5" s="103"/>
      <x:c r="P5" s="103" t="str">
        <x:f>IF(K5=0,"",IF(MIN(C5:H5)=C5,"Biologia",IF(MIN(C5:H5)=D5,"Quimica",IF(MIN(C5:H5)=E5,"Fisica",IF(MIN(C5:H5)=F5,"Linguagens",IF(MIN(C5:H5)=G5,"Matematica","Humanas"))))))</x:f>
      </x:c>
      <x:c r="Q5" s="103"/>
    </x:row>
    <x:row r="6">
      <x:c r="A6" s="132"/>
      <x:c r="B6" s="103" t="str">
        <x:v>Simulado D14</x:v>
      </x:c>
      <x:c r="C6" s="133"/>
      <x:c r="D6" s="133"/>
      <x:c r="E6" s="133"/>
      <x:c r="F6" s="133"/>
      <x:c r="G6" s="133"/>
      <x:c r="H6" s="133"/>
      <x:c r="I6" s="133"/>
      <x:c r="J6" s="133" t="n">
        <x:f>SUM(C6:E6)</x:f>
        <x:v>0</x:v>
      </x:c>
      <x:c r="K6" s="133" t="n">
        <x:f>SUM(C6:H6)</x:f>
        <x:v>0</x:v>
      </x:c>
      <x:c r="L6" s="105" t="str">
        <x:f>IF(K6=0,"",K6/180)</x:f>
      </x:c>
      <x:c r="M6" s="107" t="n">
        <x:f>(C6+D6+E6)*3+F6*2+G6*1.5+H6*1.5</x:f>
        <x:v>0</x:v>
      </x:c>
      <x:c r="N6" s="107" t="n">
        <x:f>M6+IF(I6="","",I6*2/100)</x:f>
        <x:v>0</x:v>
      </x:c>
      <x:c r="O6" s="103"/>
      <x:c r="P6" s="103" t="str">
        <x:f>IF(K6=0,"",IF(MIN(C6:H6)=C6,"Biologia",IF(MIN(C6:H6)=D6,"Quimica",IF(MIN(C6:H6)=E6,"Fisica",IF(MIN(C6:H6)=F6,"Linguagens",IF(MIN(C6:H6)=G6,"Matematica","Humanas"))))))</x:f>
      </x:c>
      <x:c r="Q6" s="103"/>
    </x:row>
    <x:row r="7">
      <x:c r="A7" s="132"/>
      <x:c r="B7" s="103" t="str">
        <x:v>Simulado D21</x:v>
      </x:c>
      <x:c r="C7" s="133"/>
      <x:c r="D7" s="133"/>
      <x:c r="E7" s="133"/>
      <x:c r="F7" s="133"/>
      <x:c r="G7" s="133"/>
      <x:c r="H7" s="133"/>
      <x:c r="I7" s="133"/>
      <x:c r="J7" s="133" t="n">
        <x:f>SUM(C7:E7)</x:f>
        <x:v>0</x:v>
      </x:c>
      <x:c r="K7" s="133" t="n">
        <x:f>SUM(C7:H7)</x:f>
        <x:v>0</x:v>
      </x:c>
      <x:c r="L7" s="105" t="str">
        <x:f>IF(K7=0,"",K7/180)</x:f>
      </x:c>
      <x:c r="M7" s="107" t="n">
        <x:f>(C7+D7+E7)*3+F7*2+G7*1.5+H7*1.5</x:f>
        <x:v>0</x:v>
      </x:c>
      <x:c r="N7" s="107" t="n">
        <x:f>M7+IF(I7="","",I7*2/100)</x:f>
        <x:v>0</x:v>
      </x:c>
      <x:c r="O7" s="103"/>
      <x:c r="P7" s="103" t="str">
        <x:f>IF(K7=0,"",IF(MIN(C7:H7)=C7,"Biologia",IF(MIN(C7:H7)=D7,"Quimica",IF(MIN(C7:H7)=E7,"Fisica",IF(MIN(C7:H7)=F7,"Linguagens",IF(MIN(C7:H7)=G7,"Matematica","Humanas"))))))</x:f>
      </x:c>
      <x:c r="Q7" s="103"/>
    </x:row>
    <x:row r="8">
      <x:c r="A8" s="134"/>
      <x:c r="B8" s="135" t="str">
        <x:v>Simulado D28</x:v>
      </x:c>
      <x:c r="C8" s="136"/>
      <x:c r="D8" s="136"/>
      <x:c r="E8" s="136"/>
      <x:c r="F8" s="136"/>
      <x:c r="G8" s="136"/>
      <x:c r="H8" s="136"/>
      <x:c r="I8" s="136"/>
      <x:c r="J8" s="136" t="n">
        <x:f>SUM(C8:E8)</x:f>
        <x:v>0</x:v>
      </x:c>
      <x:c r="K8" s="136" t="n">
        <x:f>SUM(C8:H8)</x:f>
        <x:v>0</x:v>
      </x:c>
      <x:c r="L8" s="110" t="str">
        <x:f>IF(K8=0,"",K8/180)</x:f>
      </x:c>
      <x:c r="M8" s="109" t="n">
        <x:f>(C8+D8+E8)*3+F8*2+G8*1.5+H8*1.5</x:f>
        <x:v>0</x:v>
      </x:c>
      <x:c r="N8" s="109" t="n">
        <x:f>M8+IF(I8="","",I8*2/100)</x:f>
        <x:v>0</x:v>
      </x:c>
      <x:c r="O8" s="135"/>
      <x:c r="P8" s="135" t="str">
        <x:f>IF(K8=0,"",IF(MIN(C8:H8)=C8,"Biologia",IF(MIN(C8:H8)=D8,"Quimica",IF(MIN(C8:H8)=E8,"Fisica",IF(MIN(C8:H8)=F8,"Linguagens",IF(MIN(C8:H8)=G8,"Matematica","Humanas"))))))</x:f>
      </x:c>
      <x:c r="Q8" s="135"/>
    </x:row>
  </x:sheetData>
  <x:mergeCells>
    <x:mergeCell ref="A1:Q1"/>
    <x:mergeCell ref="A2:Q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2" hidden="0" customWidth="1"/>
    <x:col min="4" max="4" width="26" hidden="0" customWidth="1"/>
    <x:col min="5" max="5" width="18" hidden="0" customWidth="1"/>
    <x:col min="6" max="6" width="10" hidden="0" customWidth="1"/>
    <x:col min="7" max="7" width="12" hidden="0" customWidth="1"/>
    <x:col min="8" max="8" width="18" hidden="0" customWidth="1"/>
    <x:col min="9" max="9" width="18" hidden="0" customWidth="1"/>
    <x:col min="10" max="10" width="42" hidden="0" customWidth="1"/>
  </x:cols>
  <x:sheetData>
    <x:row r="1" ht="25.5" customHeight="1">
      <x:c r="A1" s="141" t="str">
        <x:v>Revisoes e caderno de erros por materia</x:v>
      </x:c>
      <x:c r="B1" s="141" t="str">
        <x:v>Revisoes e caderno de erros por materia</x:v>
      </x:c>
      <x:c r="C1" s="141" t="str">
        <x:v>Revisoes e caderno de erros por materia</x:v>
      </x:c>
      <x:c r="D1" s="141" t="str">
        <x:v>Revisoes e caderno de erros por materia</x:v>
      </x:c>
      <x:c r="E1" s="141" t="str">
        <x:v>Revisoes e caderno de erros por materia</x:v>
      </x:c>
      <x:c r="F1" s="141" t="str">
        <x:v>Revisoes e caderno de erros por materia</x:v>
      </x:c>
      <x:c r="G1" s="141" t="str">
        <x:v>Revisoes e caderno de erros por materia</x:v>
      </x:c>
      <x:c r="H1" s="141" t="str">
        <x:v>Revisoes e caderno de erros por materia</x:v>
      </x:c>
      <x:c r="I1" s="141" t="str">
        <x:v>Revisoes e caderno de erros por materia</x:v>
      </x:c>
      <x:c r="J1" s="141" t="str">
        <x:v>Revisoes e caderno de erros por materia</x:v>
      </x:c>
    </x:row>
    <x:row r="2">
      <x:c r="A2" s="102" t="str">
        <x:v>Todo erro importante ganha data de revisao.</x:v>
      </x:c>
      <x:c r="B2" s="102" t="str">
        <x:v>Todo erro importante ganha data de revisao.</x:v>
      </x:c>
      <x:c r="C2" s="102" t="str">
        <x:v>Todo erro importante ganha data de revisao.</x:v>
      </x:c>
      <x:c r="D2" s="102" t="str">
        <x:v>Todo erro importante ganha data de revisao.</x:v>
      </x:c>
      <x:c r="E2" s="102" t="str">
        <x:v>Todo erro importante ganha data de revisao.</x:v>
      </x:c>
      <x:c r="F2" s="102" t="str">
        <x:v>Todo erro importante ganha data de revisao.</x:v>
      </x:c>
      <x:c r="G2" s="102" t="str">
        <x:v>Todo erro importante ganha data de revisao.</x:v>
      </x:c>
      <x:c r="H2" s="102" t="str">
        <x:v>Todo erro importante ganha data de revisao.</x:v>
      </x:c>
      <x:c r="I2" s="102" t="str">
        <x:v>Todo erro importante ganha data de revisao.</x:v>
      </x:c>
      <x:c r="J2" s="102" t="str">
        <x:v>Todo erro importante ganha data de revisao.</x:v>
      </x:c>
    </x:row>
    <x:row r="3">
      <x:c r="A3" s="103"/>
      <x:c r="B3" s="103"/>
      <x:c r="C3" s="103"/>
      <x:c r="D3" s="103"/>
      <x:c r="E3" s="103"/>
      <x:c r="F3" s="103"/>
      <x:c r="G3" s="103"/>
      <x:c r="H3" s="103"/>
      <x:c r="I3" s="103"/>
      <x:c r="J3" s="103"/>
    </x:row>
    <x:row r="4">
      <x:c r="A4" s="82" t="str">
        <x:v>Data erro</x:v>
      </x:c>
      <x:c r="B4" s="83" t="str">
        <x:v>Materia</x:v>
      </x:c>
      <x:c r="C4" s="83" t="str">
        <x:v>Area auto</x:v>
      </x:c>
      <x:c r="D4" s="83" t="str">
        <x:v>Topico</x:v>
      </x:c>
      <x:c r="E4" s="83" t="str">
        <x:v>Tipo de erro</x:v>
      </x:c>
      <x:c r="F4" s="83" t="str">
        <x:v>Peso</x:v>
      </x:c>
      <x:c r="G4" s="83" t="str">
        <x:v>Revisar em</x:v>
      </x:c>
      <x:c r="H4" s="83" t="str">
        <x:v>Status</x:v>
      </x:c>
      <x:c r="I4" s="83" t="str">
        <x:v>Acertou depois?</x:v>
      </x:c>
      <x:c r="J4" s="83" t="str">
        <x:v>Resumo do aprendizado</x:v>
      </x:c>
    </x:row>
    <x:row r="5">
      <x:c r="A5" s="132"/>
      <x:c r="B5" s="103"/>
      <x:c r="C5" s="103" t="str">
        <x:f>IF(B5="","",IF(OR(B5="Biologia",B5="Quimica",B5="Fisica"),"Ciencias da Natureza",IF(B5="Humanas","Ciencias Humanas",B5)))</x:f>
      </x:c>
      <x:c r="D5" s="103"/>
      <x:c r="E5" s="103"/>
      <x:c r="F5" s="103" t="str">
        <x:f>IF(B5="","",IF(OR(B5="Biologia",B5="Quimica",B5="Fisica"),3,IF(OR(B5="Redacao",B5="Linguagens"),2,1.5)))</x:f>
      </x:c>
      <x:c r="G5" s="139" t="str">
        <x:f>IF(A5="","",A5+IF(F5&gt;=2,2,3))</x:f>
      </x:c>
      <x:c r="H5" s="103"/>
      <x:c r="I5" s="103"/>
      <x:c r="J5" s="103"/>
    </x:row>
    <x:row r="6">
      <x:c r="A6" s="132"/>
      <x:c r="B6" s="103"/>
      <x:c r="C6" s="103" t="str">
        <x:f>IF(B6="","",IF(OR(B6="Biologia",B6="Quimica",B6="Fisica"),"Ciencias da Natureza",IF(B6="Humanas","Ciencias Humanas",B6)))</x:f>
      </x:c>
      <x:c r="D6" s="103"/>
      <x:c r="E6" s="103"/>
      <x:c r="F6" s="103" t="str">
        <x:f>IF(B6="","",IF(OR(B6="Biologia",B6="Quimica",B6="Fisica"),3,IF(OR(B6="Redacao",B6="Linguagens"),2,1.5)))</x:f>
      </x:c>
      <x:c r="G6" s="139" t="str">
        <x:f>IF(A6="","",A6+IF(F6&gt;=2,2,3))</x:f>
      </x:c>
      <x:c r="H6" s="103"/>
      <x:c r="I6" s="103"/>
      <x:c r="J6" s="103"/>
    </x:row>
    <x:row r="7">
      <x:c r="A7" s="132"/>
      <x:c r="B7" s="103"/>
      <x:c r="C7" s="103" t="str">
        <x:f>IF(B7="","",IF(OR(B7="Biologia",B7="Quimica",B7="Fisica"),"Ciencias da Natureza",IF(B7="Humanas","Ciencias Humanas",B7)))</x:f>
      </x:c>
      <x:c r="D7" s="103"/>
      <x:c r="E7" s="103"/>
      <x:c r="F7" s="103" t="str">
        <x:f>IF(B7="","",IF(OR(B7="Biologia",B7="Quimica",B7="Fisica"),3,IF(OR(B7="Redacao",B7="Linguagens"),2,1.5)))</x:f>
      </x:c>
      <x:c r="G7" s="139" t="str">
        <x:f>IF(A7="","",A7+IF(F7&gt;=2,2,3))</x:f>
      </x:c>
      <x:c r="H7" s="103"/>
      <x:c r="I7" s="103"/>
      <x:c r="J7" s="103"/>
    </x:row>
    <x:row r="8">
      <x:c r="A8" s="132"/>
      <x:c r="B8" s="103"/>
      <x:c r="C8" s="103" t="str">
        <x:f>IF(B8="","",IF(OR(B8="Biologia",B8="Quimica",B8="Fisica"),"Ciencias da Natureza",IF(B8="Humanas","Ciencias Humanas",B8)))</x:f>
      </x:c>
      <x:c r="D8" s="103"/>
      <x:c r="E8" s="103"/>
      <x:c r="F8" s="103" t="str">
        <x:f>IF(B8="","",IF(OR(B8="Biologia",B8="Quimica",B8="Fisica"),3,IF(OR(B8="Redacao",B8="Linguagens"),2,1.5)))</x:f>
      </x:c>
      <x:c r="G8" s="139" t="str">
        <x:f>IF(A8="","",A8+IF(F8&gt;=2,2,3))</x:f>
      </x:c>
      <x:c r="H8" s="103"/>
      <x:c r="I8" s="103"/>
      <x:c r="J8" s="103"/>
    </x:row>
    <x:row r="9">
      <x:c r="A9" s="132"/>
      <x:c r="B9" s="103"/>
      <x:c r="C9" s="103" t="str">
        <x:f>IF(B9="","",IF(OR(B9="Biologia",B9="Quimica",B9="Fisica"),"Ciencias da Natureza",IF(B9="Humanas","Ciencias Humanas",B9)))</x:f>
      </x:c>
      <x:c r="D9" s="103"/>
      <x:c r="E9" s="103"/>
      <x:c r="F9" s="103" t="str">
        <x:f>IF(B9="","",IF(OR(B9="Biologia",B9="Quimica",B9="Fisica"),3,IF(OR(B9="Redacao",B9="Linguagens"),2,1.5)))</x:f>
      </x:c>
      <x:c r="G9" s="139" t="str">
        <x:f>IF(A9="","",A9+IF(F9&gt;=2,2,3))</x:f>
      </x:c>
      <x:c r="H9" s="103"/>
      <x:c r="I9" s="103"/>
      <x:c r="J9" s="103"/>
    </x:row>
    <x:row r="10">
      <x:c r="A10" s="132"/>
      <x:c r="B10" s="103"/>
      <x:c r="C10" s="103" t="str">
        <x:f>IF(B10="","",IF(OR(B10="Biologia",B10="Quimica",B10="Fisica"),"Ciencias da Natureza",IF(B10="Humanas","Ciencias Humanas",B10)))</x:f>
      </x:c>
      <x:c r="D10" s="103"/>
      <x:c r="E10" s="103"/>
      <x:c r="F10" s="103" t="str">
        <x:f>IF(B10="","",IF(OR(B10="Biologia",B10="Quimica",B10="Fisica"),3,IF(OR(B10="Redacao",B10="Linguagens"),2,1.5)))</x:f>
      </x:c>
      <x:c r="G10" s="139" t="str">
        <x:f>IF(A10="","",A10+IF(F10&gt;=2,2,3))</x:f>
      </x:c>
      <x:c r="H10" s="103"/>
      <x:c r="I10" s="103"/>
      <x:c r="J10" s="103"/>
    </x:row>
    <x:row r="11">
      <x:c r="A11" s="132"/>
      <x:c r="B11" s="103"/>
      <x:c r="C11" s="103" t="str">
        <x:f>IF(B11="","",IF(OR(B11="Biologia",B11="Quimica",B11="Fisica"),"Ciencias da Natureza",IF(B11="Humanas","Ciencias Humanas",B11)))</x:f>
      </x:c>
      <x:c r="D11" s="103"/>
      <x:c r="E11" s="103"/>
      <x:c r="F11" s="103" t="str">
        <x:f>IF(B11="","",IF(OR(B11="Biologia",B11="Quimica",B11="Fisica"),3,IF(OR(B11="Redacao",B11="Linguagens"),2,1.5)))</x:f>
      </x:c>
      <x:c r="G11" s="139" t="str">
        <x:f>IF(A11="","",A11+IF(F11&gt;=2,2,3))</x:f>
      </x:c>
      <x:c r="H11" s="103"/>
      <x:c r="I11" s="103"/>
      <x:c r="J11" s="103"/>
    </x:row>
    <x:row r="12">
      <x:c r="A12" s="132"/>
      <x:c r="B12" s="103"/>
      <x:c r="C12" s="103" t="str">
        <x:f>IF(B12="","",IF(OR(B12="Biologia",B12="Quimica",B12="Fisica"),"Ciencias da Natureza",IF(B12="Humanas","Ciencias Humanas",B12)))</x:f>
      </x:c>
      <x:c r="D12" s="103"/>
      <x:c r="E12" s="103"/>
      <x:c r="F12" s="103" t="str">
        <x:f>IF(B12="","",IF(OR(B12="Biologia",B12="Quimica",B12="Fisica"),3,IF(OR(B12="Redacao",B12="Linguagens"),2,1.5)))</x:f>
      </x:c>
      <x:c r="G12" s="139" t="str">
        <x:f>IF(A12="","",A12+IF(F12&gt;=2,2,3))</x:f>
      </x:c>
      <x:c r="H12" s="103"/>
      <x:c r="I12" s="103"/>
      <x:c r="J12" s="103"/>
    </x:row>
    <x:row r="13">
      <x:c r="A13" s="132"/>
      <x:c r="B13" s="103"/>
      <x:c r="C13" s="103" t="str">
        <x:f>IF(B13="","",IF(OR(B13="Biologia",B13="Quimica",B13="Fisica"),"Ciencias da Natureza",IF(B13="Humanas","Ciencias Humanas",B13)))</x:f>
      </x:c>
      <x:c r="D13" s="103"/>
      <x:c r="E13" s="103"/>
      <x:c r="F13" s="103" t="str">
        <x:f>IF(B13="","",IF(OR(B13="Biologia",B13="Quimica",B13="Fisica"),3,IF(OR(B13="Redacao",B13="Linguagens"),2,1.5)))</x:f>
      </x:c>
      <x:c r="G13" s="139" t="str">
        <x:f>IF(A13="","",A13+IF(F13&gt;=2,2,3))</x:f>
      </x:c>
      <x:c r="H13" s="103"/>
      <x:c r="I13" s="103"/>
      <x:c r="J13" s="103"/>
    </x:row>
    <x:row r="14">
      <x:c r="A14" s="132"/>
      <x:c r="B14" s="103"/>
      <x:c r="C14" s="103" t="str">
        <x:f>IF(B14="","",IF(OR(B14="Biologia",B14="Quimica",B14="Fisica"),"Ciencias da Natureza",IF(B14="Humanas","Ciencias Humanas",B14)))</x:f>
      </x:c>
      <x:c r="D14" s="103"/>
      <x:c r="E14" s="103"/>
      <x:c r="F14" s="103" t="str">
        <x:f>IF(B14="","",IF(OR(B14="Biologia",B14="Quimica",B14="Fisica"),3,IF(OR(B14="Redacao",B14="Linguagens"),2,1.5)))</x:f>
      </x:c>
      <x:c r="G14" s="139" t="str">
        <x:f>IF(A14="","",A14+IF(F14&gt;=2,2,3))</x:f>
      </x:c>
      <x:c r="H14" s="103"/>
      <x:c r="I14" s="103"/>
      <x:c r="J14" s="103"/>
    </x:row>
    <x:row r="15">
      <x:c r="A15" s="132"/>
      <x:c r="B15" s="103"/>
      <x:c r="C15" s="103" t="str">
        <x:f>IF(B15="","",IF(OR(B15="Biologia",B15="Quimica",B15="Fisica"),"Ciencias da Natureza",IF(B15="Humanas","Ciencias Humanas",B15)))</x:f>
      </x:c>
      <x:c r="D15" s="103"/>
      <x:c r="E15" s="103"/>
      <x:c r="F15" s="103" t="str">
        <x:f>IF(B15="","",IF(OR(B15="Biologia",B15="Quimica",B15="Fisica"),3,IF(OR(B15="Redacao",B15="Linguagens"),2,1.5)))</x:f>
      </x:c>
      <x:c r="G15" s="139" t="str">
        <x:f>IF(A15="","",A15+IF(F15&gt;=2,2,3))</x:f>
      </x:c>
      <x:c r="H15" s="103"/>
      <x:c r="I15" s="103"/>
      <x:c r="J15" s="103"/>
    </x:row>
    <x:row r="16">
      <x:c r="A16" s="132"/>
      <x:c r="B16" s="103"/>
      <x:c r="C16" s="103" t="str">
        <x:f>IF(B16="","",IF(OR(B16="Biologia",B16="Quimica",B16="Fisica"),"Ciencias da Natureza",IF(B16="Humanas","Ciencias Humanas",B16)))</x:f>
      </x:c>
      <x:c r="D16" s="103"/>
      <x:c r="E16" s="103"/>
      <x:c r="F16" s="103" t="str">
        <x:f>IF(B16="","",IF(OR(B16="Biologia",B16="Quimica",B16="Fisica"),3,IF(OR(B16="Redacao",B16="Linguagens"),2,1.5)))</x:f>
      </x:c>
      <x:c r="G16" s="139" t="str">
        <x:f>IF(A16="","",A16+IF(F16&gt;=2,2,3))</x:f>
      </x:c>
      <x:c r="H16" s="103"/>
      <x:c r="I16" s="103"/>
      <x:c r="J16" s="103"/>
    </x:row>
    <x:row r="17">
      <x:c r="A17" s="132"/>
      <x:c r="B17" s="103"/>
      <x:c r="C17" s="103" t="str">
        <x:f>IF(B17="","",IF(OR(B17="Biologia",B17="Quimica",B17="Fisica"),"Ciencias da Natureza",IF(B17="Humanas","Ciencias Humanas",B17)))</x:f>
      </x:c>
      <x:c r="D17" s="103"/>
      <x:c r="E17" s="103"/>
      <x:c r="F17" s="103" t="str">
        <x:f>IF(B17="","",IF(OR(B17="Biologia",B17="Quimica",B17="Fisica"),3,IF(OR(B17="Redacao",B17="Linguagens"),2,1.5)))</x:f>
      </x:c>
      <x:c r="G17" s="139" t="str">
        <x:f>IF(A17="","",A17+IF(F17&gt;=2,2,3))</x:f>
      </x:c>
      <x:c r="H17" s="103"/>
      <x:c r="I17" s="103"/>
      <x:c r="J17" s="103"/>
    </x:row>
    <x:row r="18">
      <x:c r="A18" s="132"/>
      <x:c r="B18" s="103"/>
      <x:c r="C18" s="103" t="str">
        <x:f>IF(B18="","",IF(OR(B18="Biologia",B18="Quimica",B18="Fisica"),"Ciencias da Natureza",IF(B18="Humanas","Ciencias Humanas",B18)))</x:f>
      </x:c>
      <x:c r="D18" s="103"/>
      <x:c r="E18" s="103"/>
      <x:c r="F18" s="103" t="str">
        <x:f>IF(B18="","",IF(OR(B18="Biologia",B18="Quimica",B18="Fisica"),3,IF(OR(B18="Redacao",B18="Linguagens"),2,1.5)))</x:f>
      </x:c>
      <x:c r="G18" s="139" t="str">
        <x:f>IF(A18="","",A18+IF(F18&gt;=2,2,3))</x:f>
      </x:c>
      <x:c r="H18" s="103"/>
      <x:c r="I18" s="103"/>
      <x:c r="J18" s="103"/>
    </x:row>
    <x:row r="19">
      <x:c r="A19" s="132"/>
      <x:c r="B19" s="103"/>
      <x:c r="C19" s="103" t="str">
        <x:f>IF(B19="","",IF(OR(B19="Biologia",B19="Quimica",B19="Fisica"),"Ciencias da Natureza",IF(B19="Humanas","Ciencias Humanas",B19)))</x:f>
      </x:c>
      <x:c r="D19" s="103"/>
      <x:c r="E19" s="103"/>
      <x:c r="F19" s="103" t="str">
        <x:f>IF(B19="","",IF(OR(B19="Biologia",B19="Quimica",B19="Fisica"),3,IF(OR(B19="Redacao",B19="Linguagens"),2,1.5)))</x:f>
      </x:c>
      <x:c r="G19" s="139" t="str">
        <x:f>IF(A19="","",A19+IF(F19&gt;=2,2,3))</x:f>
      </x:c>
      <x:c r="H19" s="103"/>
      <x:c r="I19" s="103"/>
      <x:c r="J19" s="103"/>
    </x:row>
    <x:row r="20">
      <x:c r="A20" s="132"/>
      <x:c r="B20" s="103"/>
      <x:c r="C20" s="103" t="str">
        <x:f>IF(B20="","",IF(OR(B20="Biologia",B20="Quimica",B20="Fisica"),"Ciencias da Natureza",IF(B20="Humanas","Ciencias Humanas",B20)))</x:f>
      </x:c>
      <x:c r="D20" s="103"/>
      <x:c r="E20" s="103"/>
      <x:c r="F20" s="103" t="str">
        <x:f>IF(B20="","",IF(OR(B20="Biologia",B20="Quimica",B20="Fisica"),3,IF(OR(B20="Redacao",B20="Linguagens"),2,1.5)))</x:f>
      </x:c>
      <x:c r="G20" s="139" t="str">
        <x:f>IF(A20="","",A20+IF(F20&gt;=2,2,3))</x:f>
      </x:c>
      <x:c r="H20" s="103"/>
      <x:c r="I20" s="103"/>
      <x:c r="J20" s="103"/>
    </x:row>
    <x:row r="21">
      <x:c r="A21" s="132"/>
      <x:c r="B21" s="103"/>
      <x:c r="C21" s="103" t="str">
        <x:f>IF(B21="","",IF(OR(B21="Biologia",B21="Quimica",B21="Fisica"),"Ciencias da Natureza",IF(B21="Humanas","Ciencias Humanas",B21)))</x:f>
      </x:c>
      <x:c r="D21" s="103"/>
      <x:c r="E21" s="103"/>
      <x:c r="F21" s="103" t="str">
        <x:f>IF(B21="","",IF(OR(B21="Biologia",B21="Quimica",B21="Fisica"),3,IF(OR(B21="Redacao",B21="Linguagens"),2,1.5)))</x:f>
      </x:c>
      <x:c r="G21" s="139" t="str">
        <x:f>IF(A21="","",A21+IF(F21&gt;=2,2,3))</x:f>
      </x:c>
      <x:c r="H21" s="103"/>
      <x:c r="I21" s="103"/>
      <x:c r="J21" s="103"/>
    </x:row>
    <x:row r="22">
      <x:c r="A22" s="132"/>
      <x:c r="B22" s="103"/>
      <x:c r="C22" s="103" t="str">
        <x:f>IF(B22="","",IF(OR(B22="Biologia",B22="Quimica",B22="Fisica"),"Ciencias da Natureza",IF(B22="Humanas","Ciencias Humanas",B22)))</x:f>
      </x:c>
      <x:c r="D22" s="103"/>
      <x:c r="E22" s="103"/>
      <x:c r="F22" s="103" t="str">
        <x:f>IF(B22="","",IF(OR(B22="Biologia",B22="Quimica",B22="Fisica"),3,IF(OR(B22="Redacao",B22="Linguagens"),2,1.5)))</x:f>
      </x:c>
      <x:c r="G22" s="139" t="str">
        <x:f>IF(A22="","",A22+IF(F22&gt;=2,2,3))</x:f>
      </x:c>
      <x:c r="H22" s="103"/>
      <x:c r="I22" s="103"/>
      <x:c r="J22" s="103"/>
    </x:row>
    <x:row r="23">
      <x:c r="A23" s="132"/>
      <x:c r="B23" s="103"/>
      <x:c r="C23" s="103" t="str">
        <x:f>IF(B23="","",IF(OR(B23="Biologia",B23="Quimica",B23="Fisica"),"Ciencias da Natureza",IF(B23="Humanas","Ciencias Humanas",B23)))</x:f>
      </x:c>
      <x:c r="D23" s="103"/>
      <x:c r="E23" s="103"/>
      <x:c r="F23" s="103" t="str">
        <x:f>IF(B23="","",IF(OR(B23="Biologia",B23="Quimica",B23="Fisica"),3,IF(OR(B23="Redacao",B23="Linguagens"),2,1.5)))</x:f>
      </x:c>
      <x:c r="G23" s="139" t="str">
        <x:f>IF(A23="","",A23+IF(F23&gt;=2,2,3))</x:f>
      </x:c>
      <x:c r="H23" s="103"/>
      <x:c r="I23" s="103"/>
      <x:c r="J23" s="103"/>
    </x:row>
    <x:row r="24">
      <x:c r="A24" s="132"/>
      <x:c r="B24" s="103"/>
      <x:c r="C24" s="103" t="str">
        <x:f>IF(B24="","",IF(OR(B24="Biologia",B24="Quimica",B24="Fisica"),"Ciencias da Natureza",IF(B24="Humanas","Ciencias Humanas",B24)))</x:f>
      </x:c>
      <x:c r="D24" s="103"/>
      <x:c r="E24" s="103"/>
      <x:c r="F24" s="103" t="str">
        <x:f>IF(B24="","",IF(OR(B24="Biologia",B24="Quimica",B24="Fisica"),3,IF(OR(B24="Redacao",B24="Linguagens"),2,1.5)))</x:f>
      </x:c>
      <x:c r="G24" s="139" t="str">
        <x:f>IF(A24="","",A24+IF(F24&gt;=2,2,3))</x:f>
      </x:c>
      <x:c r="H24" s="103"/>
      <x:c r="I24" s="103"/>
      <x:c r="J24" s="103"/>
    </x:row>
    <x:row r="25">
      <x:c r="A25" s="132"/>
      <x:c r="B25" s="103"/>
      <x:c r="C25" s="103" t="str">
        <x:f>IF(B25="","",IF(OR(B25="Biologia",B25="Quimica",B25="Fisica"),"Ciencias da Natureza",IF(B25="Humanas","Ciencias Humanas",B25)))</x:f>
      </x:c>
      <x:c r="D25" s="103"/>
      <x:c r="E25" s="103"/>
      <x:c r="F25" s="103" t="str">
        <x:f>IF(B25="","",IF(OR(B25="Biologia",B25="Quimica",B25="Fisica"),3,IF(OR(B25="Redacao",B25="Linguagens"),2,1.5)))</x:f>
      </x:c>
      <x:c r="G25" s="139" t="str">
        <x:f>IF(A25="","",A25+IF(F25&gt;=2,2,3))</x:f>
      </x:c>
      <x:c r="H25" s="103"/>
      <x:c r="I25" s="103"/>
      <x:c r="J25" s="103"/>
    </x:row>
    <x:row r="26">
      <x:c r="A26" s="132"/>
      <x:c r="B26" s="103"/>
      <x:c r="C26" s="103" t="str">
        <x:f>IF(B26="","",IF(OR(B26="Biologia",B26="Quimica",B26="Fisica"),"Ciencias da Natureza",IF(B26="Humanas","Ciencias Humanas",B26)))</x:f>
      </x:c>
      <x:c r="D26" s="103"/>
      <x:c r="E26" s="103"/>
      <x:c r="F26" s="103" t="str">
        <x:f>IF(B26="","",IF(OR(B26="Biologia",B26="Quimica",B26="Fisica"),3,IF(OR(B26="Redacao",B26="Linguagens"),2,1.5)))</x:f>
      </x:c>
      <x:c r="G26" s="139" t="str">
        <x:f>IF(A26="","",A26+IF(F26&gt;=2,2,3))</x:f>
      </x:c>
      <x:c r="H26" s="103"/>
      <x:c r="I26" s="103"/>
      <x:c r="J26" s="103"/>
    </x:row>
    <x:row r="27">
      <x:c r="A27" s="132"/>
      <x:c r="B27" s="103"/>
      <x:c r="C27" s="103" t="str">
        <x:f>IF(B27="","",IF(OR(B27="Biologia",B27="Quimica",B27="Fisica"),"Ciencias da Natureza",IF(B27="Humanas","Ciencias Humanas",B27)))</x:f>
      </x:c>
      <x:c r="D27" s="103"/>
      <x:c r="E27" s="103"/>
      <x:c r="F27" s="103" t="str">
        <x:f>IF(B27="","",IF(OR(B27="Biologia",B27="Quimica",B27="Fisica"),3,IF(OR(B27="Redacao",B27="Linguagens"),2,1.5)))</x:f>
      </x:c>
      <x:c r="G27" s="139" t="str">
        <x:f>IF(A27="","",A27+IF(F27&gt;=2,2,3))</x:f>
      </x:c>
      <x:c r="H27" s="103"/>
      <x:c r="I27" s="103"/>
      <x:c r="J27" s="103"/>
    </x:row>
    <x:row r="28">
      <x:c r="A28" s="132"/>
      <x:c r="B28" s="103"/>
      <x:c r="C28" s="103" t="str">
        <x:f>IF(B28="","",IF(OR(B28="Biologia",B28="Quimica",B28="Fisica"),"Ciencias da Natureza",IF(B28="Humanas","Ciencias Humanas",B28)))</x:f>
      </x:c>
      <x:c r="D28" s="103"/>
      <x:c r="E28" s="103"/>
      <x:c r="F28" s="103" t="str">
        <x:f>IF(B28="","",IF(OR(B28="Biologia",B28="Quimica",B28="Fisica"),3,IF(OR(B28="Redacao",B28="Linguagens"),2,1.5)))</x:f>
      </x:c>
      <x:c r="G28" s="139" t="str">
        <x:f>IF(A28="","",A28+IF(F28&gt;=2,2,3))</x:f>
      </x:c>
      <x:c r="H28" s="103"/>
      <x:c r="I28" s="103"/>
      <x:c r="J28" s="103"/>
    </x:row>
    <x:row r="29">
      <x:c r="A29" s="132"/>
      <x:c r="B29" s="103"/>
      <x:c r="C29" s="103" t="str">
        <x:f>IF(B29="","",IF(OR(B29="Biologia",B29="Quimica",B29="Fisica"),"Ciencias da Natureza",IF(B29="Humanas","Ciencias Humanas",B29)))</x:f>
      </x:c>
      <x:c r="D29" s="103"/>
      <x:c r="E29" s="103"/>
      <x:c r="F29" s="103" t="str">
        <x:f>IF(B29="","",IF(OR(B29="Biologia",B29="Quimica",B29="Fisica"),3,IF(OR(B29="Redacao",B29="Linguagens"),2,1.5)))</x:f>
      </x:c>
      <x:c r="G29" s="139" t="str">
        <x:f>IF(A29="","",A29+IF(F29&gt;=2,2,3))</x:f>
      </x:c>
      <x:c r="H29" s="103"/>
      <x:c r="I29" s="103"/>
      <x:c r="J29" s="103"/>
    </x:row>
    <x:row r="30">
      <x:c r="A30" s="132"/>
      <x:c r="B30" s="103"/>
      <x:c r="C30" s="103" t="str">
        <x:f>IF(B30="","",IF(OR(B30="Biologia",B30="Quimica",B30="Fisica"),"Ciencias da Natureza",IF(B30="Humanas","Ciencias Humanas",B30)))</x:f>
      </x:c>
      <x:c r="D30" s="103"/>
      <x:c r="E30" s="103"/>
      <x:c r="F30" s="103" t="str">
        <x:f>IF(B30="","",IF(OR(B30="Biologia",B30="Quimica",B30="Fisica"),3,IF(OR(B30="Redacao",B30="Linguagens"),2,1.5)))</x:f>
      </x:c>
      <x:c r="G30" s="139" t="str">
        <x:f>IF(A30="","",A30+IF(F30&gt;=2,2,3))</x:f>
      </x:c>
      <x:c r="H30" s="103"/>
      <x:c r="I30" s="103"/>
      <x:c r="J30" s="103"/>
    </x:row>
    <x:row r="31">
      <x:c r="A31" s="132"/>
      <x:c r="B31" s="103"/>
      <x:c r="C31" s="103" t="str">
        <x:f>IF(B31="","",IF(OR(B31="Biologia",B31="Quimica",B31="Fisica"),"Ciencias da Natureza",IF(B31="Humanas","Ciencias Humanas",B31)))</x:f>
      </x:c>
      <x:c r="D31" s="103"/>
      <x:c r="E31" s="103"/>
      <x:c r="F31" s="103" t="str">
        <x:f>IF(B31="","",IF(OR(B31="Biologia",B31="Quimica",B31="Fisica"),3,IF(OR(B31="Redacao",B31="Linguagens"),2,1.5)))</x:f>
      </x:c>
      <x:c r="G31" s="139" t="str">
        <x:f>IF(A31="","",A31+IF(F31&gt;=2,2,3))</x:f>
      </x:c>
      <x:c r="H31" s="103"/>
      <x:c r="I31" s="103"/>
      <x:c r="J31" s="103"/>
    </x:row>
    <x:row r="32">
      <x:c r="A32" s="132"/>
      <x:c r="B32" s="103"/>
      <x:c r="C32" s="103" t="str">
        <x:f>IF(B32="","",IF(OR(B32="Biologia",B32="Quimica",B32="Fisica"),"Ciencias da Natureza",IF(B32="Humanas","Ciencias Humanas",B32)))</x:f>
      </x:c>
      <x:c r="D32" s="103"/>
      <x:c r="E32" s="103"/>
      <x:c r="F32" s="103" t="str">
        <x:f>IF(B32="","",IF(OR(B32="Biologia",B32="Quimica",B32="Fisica"),3,IF(OR(B32="Redacao",B32="Linguagens"),2,1.5)))</x:f>
      </x:c>
      <x:c r="G32" s="139" t="str">
        <x:f>IF(A32="","",A32+IF(F32&gt;=2,2,3))</x:f>
      </x:c>
      <x:c r="H32" s="103"/>
      <x:c r="I32" s="103"/>
      <x:c r="J32" s="103"/>
    </x:row>
    <x:row r="33">
      <x:c r="A33" s="132"/>
      <x:c r="B33" s="103"/>
      <x:c r="C33" s="103" t="str">
        <x:f>IF(B33="","",IF(OR(B33="Biologia",B33="Quimica",B33="Fisica"),"Ciencias da Natureza",IF(B33="Humanas","Ciencias Humanas",B33)))</x:f>
      </x:c>
      <x:c r="D33" s="103"/>
      <x:c r="E33" s="103"/>
      <x:c r="F33" s="103" t="str">
        <x:f>IF(B33="","",IF(OR(B33="Biologia",B33="Quimica",B33="Fisica"),3,IF(OR(B33="Redacao",B33="Linguagens"),2,1.5)))</x:f>
      </x:c>
      <x:c r="G33" s="139" t="str">
        <x:f>IF(A33="","",A33+IF(F33&gt;=2,2,3))</x:f>
      </x:c>
      <x:c r="H33" s="103"/>
      <x:c r="I33" s="103"/>
      <x:c r="J33" s="103"/>
    </x:row>
    <x:row r="34">
      <x:c r="A34" s="132"/>
      <x:c r="B34" s="103"/>
      <x:c r="C34" s="103" t="str">
        <x:f>IF(B34="","",IF(OR(B34="Biologia",B34="Quimica",B34="Fisica"),"Ciencias da Natureza",IF(B34="Humanas","Ciencias Humanas",B34)))</x:f>
      </x:c>
      <x:c r="D34" s="103"/>
      <x:c r="E34" s="103"/>
      <x:c r="F34" s="103" t="str">
        <x:f>IF(B34="","",IF(OR(B34="Biologia",B34="Quimica",B34="Fisica"),3,IF(OR(B34="Redacao",B34="Linguagens"),2,1.5)))</x:f>
      </x:c>
      <x:c r="G34" s="139" t="str">
        <x:f>IF(A34="","",A34+IF(F34&gt;=2,2,3))</x:f>
      </x:c>
      <x:c r="H34" s="103"/>
      <x:c r="I34" s="103"/>
      <x:c r="J34" s="103"/>
    </x:row>
    <x:row r="35">
      <x:c r="A35" s="132"/>
      <x:c r="B35" s="103"/>
      <x:c r="C35" s="103" t="str">
        <x:f>IF(B35="","",IF(OR(B35="Biologia",B35="Quimica",B35="Fisica"),"Ciencias da Natureza",IF(B35="Humanas","Ciencias Humanas",B35)))</x:f>
      </x:c>
      <x:c r="D35" s="103"/>
      <x:c r="E35" s="103"/>
      <x:c r="F35" s="103" t="str">
        <x:f>IF(B35="","",IF(OR(B35="Biologia",B35="Quimica",B35="Fisica"),3,IF(OR(B35="Redacao",B35="Linguagens"),2,1.5)))</x:f>
      </x:c>
      <x:c r="G35" s="139" t="str">
        <x:f>IF(A35="","",A35+IF(F35&gt;=2,2,3))</x:f>
      </x:c>
      <x:c r="H35" s="103"/>
      <x:c r="I35" s="103"/>
      <x:c r="J35" s="103"/>
    </x:row>
    <x:row r="36">
      <x:c r="A36" s="132"/>
      <x:c r="B36" s="103"/>
      <x:c r="C36" s="103" t="str">
        <x:f>IF(B36="","",IF(OR(B36="Biologia",B36="Quimica",B36="Fisica"),"Ciencias da Natureza",IF(B36="Humanas","Ciencias Humanas",B36)))</x:f>
      </x:c>
      <x:c r="D36" s="103"/>
      <x:c r="E36" s="103"/>
      <x:c r="F36" s="103" t="str">
        <x:f>IF(B36="","",IF(OR(B36="Biologia",B36="Quimica",B36="Fisica"),3,IF(OR(B36="Redacao",B36="Linguagens"),2,1.5)))</x:f>
      </x:c>
      <x:c r="G36" s="139" t="str">
        <x:f>IF(A36="","",A36+IF(F36&gt;=2,2,3))</x:f>
      </x:c>
      <x:c r="H36" s="103"/>
      <x:c r="I36" s="103"/>
      <x:c r="J36" s="103"/>
    </x:row>
    <x:row r="37">
      <x:c r="A37" s="132"/>
      <x:c r="B37" s="103"/>
      <x:c r="C37" s="103" t="str">
        <x:f>IF(B37="","",IF(OR(B37="Biologia",B37="Quimica",B37="Fisica"),"Ciencias da Natureza",IF(B37="Humanas","Ciencias Humanas",B37)))</x:f>
      </x:c>
      <x:c r="D37" s="103"/>
      <x:c r="E37" s="103"/>
      <x:c r="F37" s="103" t="str">
        <x:f>IF(B37="","",IF(OR(B37="Biologia",B37="Quimica",B37="Fisica"),3,IF(OR(B37="Redacao",B37="Linguagens"),2,1.5)))</x:f>
      </x:c>
      <x:c r="G37" s="139" t="str">
        <x:f>IF(A37="","",A37+IF(F37&gt;=2,2,3))</x:f>
      </x:c>
      <x:c r="H37" s="103"/>
      <x:c r="I37" s="103"/>
      <x:c r="J37" s="103"/>
    </x:row>
    <x:row r="38">
      <x:c r="A38" s="132"/>
      <x:c r="B38" s="103"/>
      <x:c r="C38" s="103" t="str">
        <x:f>IF(B38="","",IF(OR(B38="Biologia",B38="Quimica",B38="Fisica"),"Ciencias da Natureza",IF(B38="Humanas","Ciencias Humanas",B38)))</x:f>
      </x:c>
      <x:c r="D38" s="103"/>
      <x:c r="E38" s="103"/>
      <x:c r="F38" s="103" t="str">
        <x:f>IF(B38="","",IF(OR(B38="Biologia",B38="Quimica",B38="Fisica"),3,IF(OR(B38="Redacao",B38="Linguagens"),2,1.5)))</x:f>
      </x:c>
      <x:c r="G38" s="139" t="str">
        <x:f>IF(A38="","",A38+IF(F38&gt;=2,2,3))</x:f>
      </x:c>
      <x:c r="H38" s="103"/>
      <x:c r="I38" s="103"/>
      <x:c r="J38" s="103"/>
    </x:row>
    <x:row r="39">
      <x:c r="A39" s="132"/>
      <x:c r="B39" s="103"/>
      <x:c r="C39" s="103" t="str">
        <x:f>IF(B39="","",IF(OR(B39="Biologia",B39="Quimica",B39="Fisica"),"Ciencias da Natureza",IF(B39="Humanas","Ciencias Humanas",B39)))</x:f>
      </x:c>
      <x:c r="D39" s="103"/>
      <x:c r="E39" s="103"/>
      <x:c r="F39" s="103" t="str">
        <x:f>IF(B39="","",IF(OR(B39="Biologia",B39="Quimica",B39="Fisica"),3,IF(OR(B39="Redacao",B39="Linguagens"),2,1.5)))</x:f>
      </x:c>
      <x:c r="G39" s="139" t="str">
        <x:f>IF(A39="","",A39+IF(F39&gt;=2,2,3))</x:f>
      </x:c>
      <x:c r="H39" s="103"/>
      <x:c r="I39" s="103"/>
      <x:c r="J39" s="103"/>
    </x:row>
    <x:row r="40">
      <x:c r="A40" s="132"/>
      <x:c r="B40" s="103"/>
      <x:c r="C40" s="103" t="str">
        <x:f>IF(B40="","",IF(OR(B40="Biologia",B40="Quimica",B40="Fisica"),"Ciencias da Natureza",IF(B40="Humanas","Ciencias Humanas",B40)))</x:f>
      </x:c>
      <x:c r="D40" s="103"/>
      <x:c r="E40" s="103"/>
      <x:c r="F40" s="103" t="str">
        <x:f>IF(B40="","",IF(OR(B40="Biologia",B40="Quimica",B40="Fisica"),3,IF(OR(B40="Redacao",B40="Linguagens"),2,1.5)))</x:f>
      </x:c>
      <x:c r="G40" s="139" t="str">
        <x:f>IF(A40="","",A40+IF(F40&gt;=2,2,3))</x:f>
      </x:c>
      <x:c r="H40" s="103"/>
      <x:c r="I40" s="103"/>
      <x:c r="J40" s="103"/>
    </x:row>
    <x:row r="41">
      <x:c r="A41" s="132"/>
      <x:c r="B41" s="103"/>
      <x:c r="C41" s="103" t="str">
        <x:f>IF(B41="","",IF(OR(B41="Biologia",B41="Quimica",B41="Fisica"),"Ciencias da Natureza",IF(B41="Humanas","Ciencias Humanas",B41)))</x:f>
      </x:c>
      <x:c r="D41" s="103"/>
      <x:c r="E41" s="103"/>
      <x:c r="F41" s="103" t="str">
        <x:f>IF(B41="","",IF(OR(B41="Biologia",B41="Quimica",B41="Fisica"),3,IF(OR(B41="Redacao",B41="Linguagens"),2,1.5)))</x:f>
      </x:c>
      <x:c r="G41" s="139" t="str">
        <x:f>IF(A41="","",A41+IF(F41&gt;=2,2,3))</x:f>
      </x:c>
      <x:c r="H41" s="103"/>
      <x:c r="I41" s="103"/>
      <x:c r="J41" s="103"/>
    </x:row>
    <x:row r="42">
      <x:c r="A42" s="132"/>
      <x:c r="B42" s="103"/>
      <x:c r="C42" s="103" t="str">
        <x:f>IF(B42="","",IF(OR(B42="Biologia",B42="Quimica",B42="Fisica"),"Ciencias da Natureza",IF(B42="Humanas","Ciencias Humanas",B42)))</x:f>
      </x:c>
      <x:c r="D42" s="103"/>
      <x:c r="E42" s="103"/>
      <x:c r="F42" s="103" t="str">
        <x:f>IF(B42="","",IF(OR(B42="Biologia",B42="Quimica",B42="Fisica"),3,IF(OR(B42="Redacao",B42="Linguagens"),2,1.5)))</x:f>
      </x:c>
      <x:c r="G42" s="139" t="str">
        <x:f>IF(A42="","",A42+IF(F42&gt;=2,2,3))</x:f>
      </x:c>
      <x:c r="H42" s="103"/>
      <x:c r="I42" s="103"/>
      <x:c r="J42" s="103"/>
    </x:row>
    <x:row r="43">
      <x:c r="A43" s="132"/>
      <x:c r="B43" s="103"/>
      <x:c r="C43" s="103" t="str">
        <x:f>IF(B43="","",IF(OR(B43="Biologia",B43="Quimica",B43="Fisica"),"Ciencias da Natureza",IF(B43="Humanas","Ciencias Humanas",B43)))</x:f>
      </x:c>
      <x:c r="D43" s="103"/>
      <x:c r="E43" s="103"/>
      <x:c r="F43" s="103" t="str">
        <x:f>IF(B43="","",IF(OR(B43="Biologia",B43="Quimica",B43="Fisica"),3,IF(OR(B43="Redacao",B43="Linguagens"),2,1.5)))</x:f>
      </x:c>
      <x:c r="G43" s="139" t="str">
        <x:f>IF(A43="","",A43+IF(F43&gt;=2,2,3))</x:f>
      </x:c>
      <x:c r="H43" s="103"/>
      <x:c r="I43" s="103"/>
      <x:c r="J43" s="103"/>
    </x:row>
    <x:row r="44">
      <x:c r="A44" s="132"/>
      <x:c r="B44" s="103"/>
      <x:c r="C44" s="103" t="str">
        <x:f>IF(B44="","",IF(OR(B44="Biologia",B44="Quimica",B44="Fisica"),"Ciencias da Natureza",IF(B44="Humanas","Ciencias Humanas",B44)))</x:f>
      </x:c>
      <x:c r="D44" s="103"/>
      <x:c r="E44" s="103"/>
      <x:c r="F44" s="103" t="str">
        <x:f>IF(B44="","",IF(OR(B44="Biologia",B44="Quimica",B44="Fisica"),3,IF(OR(B44="Redacao",B44="Linguagens"),2,1.5)))</x:f>
      </x:c>
      <x:c r="G44" s="139" t="str">
        <x:f>IF(A44="","",A44+IF(F44&gt;=2,2,3))</x:f>
      </x:c>
      <x:c r="H44" s="103"/>
      <x:c r="I44" s="103"/>
      <x:c r="J44" s="103"/>
    </x:row>
    <x:row r="45">
      <x:c r="A45" s="132"/>
      <x:c r="B45" s="103"/>
      <x:c r="C45" s="103" t="str">
        <x:f>IF(B45="","",IF(OR(B45="Biologia",B45="Quimica",B45="Fisica"),"Ciencias da Natureza",IF(B45="Humanas","Ciencias Humanas",B45)))</x:f>
      </x:c>
      <x:c r="D45" s="103"/>
      <x:c r="E45" s="103"/>
      <x:c r="F45" s="103" t="str">
        <x:f>IF(B45="","",IF(OR(B45="Biologia",B45="Quimica",B45="Fisica"),3,IF(OR(B45="Redacao",B45="Linguagens"),2,1.5)))</x:f>
      </x:c>
      <x:c r="G45" s="139" t="str">
        <x:f>IF(A45="","",A45+IF(F45&gt;=2,2,3))</x:f>
      </x:c>
      <x:c r="H45" s="103"/>
      <x:c r="I45" s="103"/>
      <x:c r="J45" s="103"/>
    </x:row>
    <x:row r="46">
      <x:c r="A46" s="132"/>
      <x:c r="B46" s="103"/>
      <x:c r="C46" s="103" t="str">
        <x:f>IF(B46="","",IF(OR(B46="Biologia",B46="Quimica",B46="Fisica"),"Ciencias da Natureza",IF(B46="Humanas","Ciencias Humanas",B46)))</x:f>
      </x:c>
      <x:c r="D46" s="103"/>
      <x:c r="E46" s="103"/>
      <x:c r="F46" s="103" t="str">
        <x:f>IF(B46="","",IF(OR(B46="Biologia",B46="Quimica",B46="Fisica"),3,IF(OR(B46="Redacao",B46="Linguagens"),2,1.5)))</x:f>
      </x:c>
      <x:c r="G46" s="139" t="str">
        <x:f>IF(A46="","",A46+IF(F46&gt;=2,2,3))</x:f>
      </x:c>
      <x:c r="H46" s="103"/>
      <x:c r="I46" s="103"/>
      <x:c r="J46" s="103"/>
    </x:row>
    <x:row r="47">
      <x:c r="A47" s="132"/>
      <x:c r="B47" s="103"/>
      <x:c r="C47" s="103" t="str">
        <x:f>IF(B47="","",IF(OR(B47="Biologia",B47="Quimica",B47="Fisica"),"Ciencias da Natureza",IF(B47="Humanas","Ciencias Humanas",B47)))</x:f>
      </x:c>
      <x:c r="D47" s="103"/>
      <x:c r="E47" s="103"/>
      <x:c r="F47" s="103" t="str">
        <x:f>IF(B47="","",IF(OR(B47="Biologia",B47="Quimica",B47="Fisica"),3,IF(OR(B47="Redacao",B47="Linguagens"),2,1.5)))</x:f>
      </x:c>
      <x:c r="G47" s="139" t="str">
        <x:f>IF(A47="","",A47+IF(F47&gt;=2,2,3))</x:f>
      </x:c>
      <x:c r="H47" s="103"/>
      <x:c r="I47" s="103"/>
      <x:c r="J47" s="103"/>
    </x:row>
    <x:row r="48">
      <x:c r="A48" s="132"/>
      <x:c r="B48" s="103"/>
      <x:c r="C48" s="103" t="str">
        <x:f>IF(B48="","",IF(OR(B48="Biologia",B48="Quimica",B48="Fisica"),"Ciencias da Natureza",IF(B48="Humanas","Ciencias Humanas",B48)))</x:f>
      </x:c>
      <x:c r="D48" s="103"/>
      <x:c r="E48" s="103"/>
      <x:c r="F48" s="103" t="str">
        <x:f>IF(B48="","",IF(OR(B48="Biologia",B48="Quimica",B48="Fisica"),3,IF(OR(B48="Redacao",B48="Linguagens"),2,1.5)))</x:f>
      </x:c>
      <x:c r="G48" s="139" t="str">
        <x:f>IF(A48="","",A48+IF(F48&gt;=2,2,3))</x:f>
      </x:c>
      <x:c r="H48" s="103"/>
      <x:c r="I48" s="103"/>
      <x:c r="J48" s="103"/>
    </x:row>
    <x:row r="49">
      <x:c r="A49" s="132"/>
      <x:c r="B49" s="103"/>
      <x:c r="C49" s="103" t="str">
        <x:f>IF(B49="","",IF(OR(B49="Biologia",B49="Quimica",B49="Fisica"),"Ciencias da Natureza",IF(B49="Humanas","Ciencias Humanas",B49)))</x:f>
      </x:c>
      <x:c r="D49" s="103"/>
      <x:c r="E49" s="103"/>
      <x:c r="F49" s="103" t="str">
        <x:f>IF(B49="","",IF(OR(B49="Biologia",B49="Quimica",B49="Fisica"),3,IF(OR(B49="Redacao",B49="Linguagens"),2,1.5)))</x:f>
      </x:c>
      <x:c r="G49" s="139" t="str">
        <x:f>IF(A49="","",A49+IF(F49&gt;=2,2,3))</x:f>
      </x:c>
      <x:c r="H49" s="103"/>
      <x:c r="I49" s="103"/>
      <x:c r="J49" s="103"/>
    </x:row>
    <x:row r="50">
      <x:c r="A50" s="132"/>
      <x:c r="B50" s="103"/>
      <x:c r="C50" s="103" t="str">
        <x:f>IF(B50="","",IF(OR(B50="Biologia",B50="Quimica",B50="Fisica"),"Ciencias da Natureza",IF(B50="Humanas","Ciencias Humanas",B50)))</x:f>
      </x:c>
      <x:c r="D50" s="103"/>
      <x:c r="E50" s="103"/>
      <x:c r="F50" s="103" t="str">
        <x:f>IF(B50="","",IF(OR(B50="Biologia",B50="Quimica",B50="Fisica"),3,IF(OR(B50="Redacao",B50="Linguagens"),2,1.5)))</x:f>
      </x:c>
      <x:c r="G50" s="139" t="str">
        <x:f>IF(A50="","",A50+IF(F50&gt;=2,2,3))</x:f>
      </x:c>
      <x:c r="H50" s="103"/>
      <x:c r="I50" s="103"/>
      <x:c r="J50" s="103"/>
    </x:row>
    <x:row r="51">
      <x:c r="A51" s="132"/>
      <x:c r="B51" s="103"/>
      <x:c r="C51" s="103" t="str">
        <x:f>IF(B51="","",IF(OR(B51="Biologia",B51="Quimica",B51="Fisica"),"Ciencias da Natureza",IF(B51="Humanas","Ciencias Humanas",B51)))</x:f>
      </x:c>
      <x:c r="D51" s="103"/>
      <x:c r="E51" s="103"/>
      <x:c r="F51" s="103" t="str">
        <x:f>IF(B51="","",IF(OR(B51="Biologia",B51="Quimica",B51="Fisica"),3,IF(OR(B51="Redacao",B51="Linguagens"),2,1.5)))</x:f>
      </x:c>
      <x:c r="G51" s="139" t="str">
        <x:f>IF(A51="","",A51+IF(F51&gt;=2,2,3))</x:f>
      </x:c>
      <x:c r="H51" s="103"/>
      <x:c r="I51" s="103"/>
      <x:c r="J51" s="103"/>
    </x:row>
    <x:row r="52">
      <x:c r="A52" s="132"/>
      <x:c r="B52" s="103"/>
      <x:c r="C52" s="103" t="str">
        <x:f>IF(B52="","",IF(OR(B52="Biologia",B52="Quimica",B52="Fisica"),"Ciencias da Natureza",IF(B52="Humanas","Ciencias Humanas",B52)))</x:f>
      </x:c>
      <x:c r="D52" s="103"/>
      <x:c r="E52" s="103"/>
      <x:c r="F52" s="103" t="str">
        <x:f>IF(B52="","",IF(OR(B52="Biologia",B52="Quimica",B52="Fisica"),3,IF(OR(B52="Redacao",B52="Linguagens"),2,1.5)))</x:f>
      </x:c>
      <x:c r="G52" s="139" t="str">
        <x:f>IF(A52="","",A52+IF(F52&gt;=2,2,3))</x:f>
      </x:c>
      <x:c r="H52" s="103"/>
      <x:c r="I52" s="103"/>
      <x:c r="J52" s="103"/>
    </x:row>
    <x:row r="53">
      <x:c r="A53" s="132"/>
      <x:c r="B53" s="103"/>
      <x:c r="C53" s="103" t="str">
        <x:f>IF(B53="","",IF(OR(B53="Biologia",B53="Quimica",B53="Fisica"),"Ciencias da Natureza",IF(B53="Humanas","Ciencias Humanas",B53)))</x:f>
      </x:c>
      <x:c r="D53" s="103"/>
      <x:c r="E53" s="103"/>
      <x:c r="F53" s="103" t="str">
        <x:f>IF(B53="","",IF(OR(B53="Biologia",B53="Quimica",B53="Fisica"),3,IF(OR(B53="Redacao",B53="Linguagens"),2,1.5)))</x:f>
      </x:c>
      <x:c r="G53" s="139" t="str">
        <x:f>IF(A53="","",A53+IF(F53&gt;=2,2,3))</x:f>
      </x:c>
      <x:c r="H53" s="103"/>
      <x:c r="I53" s="103"/>
      <x:c r="J53" s="103"/>
    </x:row>
    <x:row r="54">
      <x:c r="A54" s="132"/>
      <x:c r="B54" s="103"/>
      <x:c r="C54" s="103" t="str">
        <x:f>IF(B54="","",IF(OR(B54="Biologia",B54="Quimica",B54="Fisica"),"Ciencias da Natureza",IF(B54="Humanas","Ciencias Humanas",B54)))</x:f>
      </x:c>
      <x:c r="D54" s="103"/>
      <x:c r="E54" s="103"/>
      <x:c r="F54" s="103" t="str">
        <x:f>IF(B54="","",IF(OR(B54="Biologia",B54="Quimica",B54="Fisica"),3,IF(OR(B54="Redacao",B54="Linguagens"),2,1.5)))</x:f>
      </x:c>
      <x:c r="G54" s="139" t="str">
        <x:f>IF(A54="","",A54+IF(F54&gt;=2,2,3))</x:f>
      </x:c>
      <x:c r="H54" s="103"/>
      <x:c r="I54" s="103"/>
      <x:c r="J54" s="103"/>
    </x:row>
    <x:row r="55">
      <x:c r="A55" s="132"/>
      <x:c r="B55" s="103"/>
      <x:c r="C55" s="103" t="str">
        <x:f>IF(B55="","",IF(OR(B55="Biologia",B55="Quimica",B55="Fisica"),"Ciencias da Natureza",IF(B55="Humanas","Ciencias Humanas",B55)))</x:f>
      </x:c>
      <x:c r="D55" s="103"/>
      <x:c r="E55" s="103"/>
      <x:c r="F55" s="103" t="str">
        <x:f>IF(B55="","",IF(OR(B55="Biologia",B55="Quimica",B55="Fisica"),3,IF(OR(B55="Redacao",B55="Linguagens"),2,1.5)))</x:f>
      </x:c>
      <x:c r="G55" s="139" t="str">
        <x:f>IF(A55="","",A55+IF(F55&gt;=2,2,3))</x:f>
      </x:c>
      <x:c r="H55" s="103"/>
      <x:c r="I55" s="103"/>
      <x:c r="J55" s="103"/>
    </x:row>
    <x:row r="56">
      <x:c r="A56" s="132"/>
      <x:c r="B56" s="103"/>
      <x:c r="C56" s="103" t="str">
        <x:f>IF(B56="","",IF(OR(B56="Biologia",B56="Quimica",B56="Fisica"),"Ciencias da Natureza",IF(B56="Humanas","Ciencias Humanas",B56)))</x:f>
      </x:c>
      <x:c r="D56" s="103"/>
      <x:c r="E56" s="103"/>
      <x:c r="F56" s="103" t="str">
        <x:f>IF(B56="","",IF(OR(B56="Biologia",B56="Quimica",B56="Fisica"),3,IF(OR(B56="Redacao",B56="Linguagens"),2,1.5)))</x:f>
      </x:c>
      <x:c r="G56" s="139" t="str">
        <x:f>IF(A56="","",A56+IF(F56&gt;=2,2,3))</x:f>
      </x:c>
      <x:c r="H56" s="103"/>
      <x:c r="I56" s="103"/>
      <x:c r="J56" s="103"/>
    </x:row>
    <x:row r="57">
      <x:c r="A57" s="132"/>
      <x:c r="B57" s="103"/>
      <x:c r="C57" s="103" t="str">
        <x:f>IF(B57="","",IF(OR(B57="Biologia",B57="Quimica",B57="Fisica"),"Ciencias da Natureza",IF(B57="Humanas","Ciencias Humanas",B57)))</x:f>
      </x:c>
      <x:c r="D57" s="103"/>
      <x:c r="E57" s="103"/>
      <x:c r="F57" s="103" t="str">
        <x:f>IF(B57="","",IF(OR(B57="Biologia",B57="Quimica",B57="Fisica"),3,IF(OR(B57="Redacao",B57="Linguagens"),2,1.5)))</x:f>
      </x:c>
      <x:c r="G57" s="139" t="str">
        <x:f>IF(A57="","",A57+IF(F57&gt;=2,2,3))</x:f>
      </x:c>
      <x:c r="H57" s="103"/>
      <x:c r="I57" s="103"/>
      <x:c r="J57" s="103"/>
    </x:row>
    <x:row r="58">
      <x:c r="A58" s="132"/>
      <x:c r="B58" s="103"/>
      <x:c r="C58" s="103" t="str">
        <x:f>IF(B58="","",IF(OR(B58="Biologia",B58="Quimica",B58="Fisica"),"Ciencias da Natureza",IF(B58="Humanas","Ciencias Humanas",B58)))</x:f>
      </x:c>
      <x:c r="D58" s="103"/>
      <x:c r="E58" s="103"/>
      <x:c r="F58" s="103" t="str">
        <x:f>IF(B58="","",IF(OR(B58="Biologia",B58="Quimica",B58="Fisica"),3,IF(OR(B58="Redacao",B58="Linguagens"),2,1.5)))</x:f>
      </x:c>
      <x:c r="G58" s="139" t="str">
        <x:f>IF(A58="","",A58+IF(F58&gt;=2,2,3))</x:f>
      </x:c>
      <x:c r="H58" s="103"/>
      <x:c r="I58" s="103"/>
      <x:c r="J58" s="103"/>
    </x:row>
    <x:row r="59">
      <x:c r="A59" s="132"/>
      <x:c r="B59" s="103"/>
      <x:c r="C59" s="103" t="str">
        <x:f>IF(B59="","",IF(OR(B59="Biologia",B59="Quimica",B59="Fisica"),"Ciencias da Natureza",IF(B59="Humanas","Ciencias Humanas",B59)))</x:f>
      </x:c>
      <x:c r="D59" s="103"/>
      <x:c r="E59" s="103"/>
      <x:c r="F59" s="103" t="str">
        <x:f>IF(B59="","",IF(OR(B59="Biologia",B59="Quimica",B59="Fisica"),3,IF(OR(B59="Redacao",B59="Linguagens"),2,1.5)))</x:f>
      </x:c>
      <x:c r="G59" s="139" t="str">
        <x:f>IF(A59="","",A59+IF(F59&gt;=2,2,3))</x:f>
      </x:c>
      <x:c r="H59" s="103"/>
      <x:c r="I59" s="103"/>
      <x:c r="J59" s="103"/>
    </x:row>
    <x:row r="60">
      <x:c r="A60" s="132"/>
      <x:c r="B60" s="103"/>
      <x:c r="C60" s="103" t="str">
        <x:f>IF(B60="","",IF(OR(B60="Biologia",B60="Quimica",B60="Fisica"),"Ciencias da Natureza",IF(B60="Humanas","Ciencias Humanas",B60)))</x:f>
      </x:c>
      <x:c r="D60" s="103"/>
      <x:c r="E60" s="103"/>
      <x:c r="F60" s="103" t="str">
        <x:f>IF(B60="","",IF(OR(B60="Biologia",B60="Quimica",B60="Fisica"),3,IF(OR(B60="Redacao",B60="Linguagens"),2,1.5)))</x:f>
      </x:c>
      <x:c r="G60" s="139" t="str">
        <x:f>IF(A60="","",A60+IF(F60&gt;=2,2,3))</x:f>
      </x:c>
      <x:c r="H60" s="103"/>
      <x:c r="I60" s="103"/>
      <x:c r="J60" s="103"/>
    </x:row>
    <x:row r="61">
      <x:c r="A61" s="132"/>
      <x:c r="B61" s="103"/>
      <x:c r="C61" s="103" t="str">
        <x:f>IF(B61="","",IF(OR(B61="Biologia",B61="Quimica",B61="Fisica"),"Ciencias da Natureza",IF(B61="Humanas","Ciencias Humanas",B61)))</x:f>
      </x:c>
      <x:c r="D61" s="103"/>
      <x:c r="E61" s="103"/>
      <x:c r="F61" s="103" t="str">
        <x:f>IF(B61="","",IF(OR(B61="Biologia",B61="Quimica",B61="Fisica"),3,IF(OR(B61="Redacao",B61="Linguagens"),2,1.5)))</x:f>
      </x:c>
      <x:c r="G61" s="139" t="str">
        <x:f>IF(A61="","",A61+IF(F61&gt;=2,2,3))</x:f>
      </x:c>
      <x:c r="H61" s="103"/>
      <x:c r="I61" s="103"/>
      <x:c r="J61" s="103"/>
    </x:row>
    <x:row r="62">
      <x:c r="A62" s="132"/>
      <x:c r="B62" s="103"/>
      <x:c r="C62" s="103" t="str">
        <x:f>IF(B62="","",IF(OR(B62="Biologia",B62="Quimica",B62="Fisica"),"Ciencias da Natureza",IF(B62="Humanas","Ciencias Humanas",B62)))</x:f>
      </x:c>
      <x:c r="D62" s="103"/>
      <x:c r="E62" s="103"/>
      <x:c r="F62" s="103" t="str">
        <x:f>IF(B62="","",IF(OR(B62="Biologia",B62="Quimica",B62="Fisica"),3,IF(OR(B62="Redacao",B62="Linguagens"),2,1.5)))</x:f>
      </x:c>
      <x:c r="G62" s="139" t="str">
        <x:f>IF(A62="","",A62+IF(F62&gt;=2,2,3))</x:f>
      </x:c>
      <x:c r="H62" s="103"/>
      <x:c r="I62" s="103"/>
      <x:c r="J62" s="103"/>
    </x:row>
    <x:row r="63">
      <x:c r="A63" s="132"/>
      <x:c r="B63" s="103"/>
      <x:c r="C63" s="103" t="str">
        <x:f>IF(B63="","",IF(OR(B63="Biologia",B63="Quimica",B63="Fisica"),"Ciencias da Natureza",IF(B63="Humanas","Ciencias Humanas",B63)))</x:f>
      </x:c>
      <x:c r="D63" s="103"/>
      <x:c r="E63" s="103"/>
      <x:c r="F63" s="103" t="str">
        <x:f>IF(B63="","",IF(OR(B63="Biologia",B63="Quimica",B63="Fisica"),3,IF(OR(B63="Redacao",B63="Linguagens"),2,1.5)))</x:f>
      </x:c>
      <x:c r="G63" s="139" t="str">
        <x:f>IF(A63="","",A63+IF(F63&gt;=2,2,3))</x:f>
      </x:c>
      <x:c r="H63" s="103"/>
      <x:c r="I63" s="103"/>
      <x:c r="J63" s="103"/>
    </x:row>
    <x:row r="64">
      <x:c r="A64" s="132"/>
      <x:c r="B64" s="103"/>
      <x:c r="C64" s="103" t="str">
        <x:f>IF(B64="","",IF(OR(B64="Biologia",B64="Quimica",B64="Fisica"),"Ciencias da Natureza",IF(B64="Humanas","Ciencias Humanas",B64)))</x:f>
      </x:c>
      <x:c r="D64" s="103"/>
      <x:c r="E64" s="103"/>
      <x:c r="F64" s="103" t="str">
        <x:f>IF(B64="","",IF(OR(B64="Biologia",B64="Quimica",B64="Fisica"),3,IF(OR(B64="Redacao",B64="Linguagens"),2,1.5)))</x:f>
      </x:c>
      <x:c r="G64" s="139" t="str">
        <x:f>IF(A64="","",A64+IF(F64&gt;=2,2,3))</x:f>
      </x:c>
      <x:c r="H64" s="103"/>
      <x:c r="I64" s="103"/>
      <x:c r="J64" s="103"/>
    </x:row>
    <x:row r="65">
      <x:c r="A65" s="132"/>
      <x:c r="B65" s="103"/>
      <x:c r="C65" s="103" t="str">
        <x:f>IF(B65="","",IF(OR(B65="Biologia",B65="Quimica",B65="Fisica"),"Ciencias da Natureza",IF(B65="Humanas","Ciencias Humanas",B65)))</x:f>
      </x:c>
      <x:c r="D65" s="103"/>
      <x:c r="E65" s="103"/>
      <x:c r="F65" s="103" t="str">
        <x:f>IF(B65="","",IF(OR(B65="Biologia",B65="Quimica",B65="Fisica"),3,IF(OR(B65="Redacao",B65="Linguagens"),2,1.5)))</x:f>
      </x:c>
      <x:c r="G65" s="139" t="str">
        <x:f>IF(A65="","",A65+IF(F65&gt;=2,2,3))</x:f>
      </x:c>
      <x:c r="H65" s="103"/>
      <x:c r="I65" s="103"/>
      <x:c r="J65" s="103"/>
    </x:row>
    <x:row r="66">
      <x:c r="A66" s="132"/>
      <x:c r="B66" s="103"/>
      <x:c r="C66" s="103" t="str">
        <x:f>IF(B66="","",IF(OR(B66="Biologia",B66="Quimica",B66="Fisica"),"Ciencias da Natureza",IF(B66="Humanas","Ciencias Humanas",B66)))</x:f>
      </x:c>
      <x:c r="D66" s="103"/>
      <x:c r="E66" s="103"/>
      <x:c r="F66" s="103" t="str">
        <x:f>IF(B66="","",IF(OR(B66="Biologia",B66="Quimica",B66="Fisica"),3,IF(OR(B66="Redacao",B66="Linguagens"),2,1.5)))</x:f>
      </x:c>
      <x:c r="G66" s="139" t="str">
        <x:f>IF(A66="","",A66+IF(F66&gt;=2,2,3))</x:f>
      </x:c>
      <x:c r="H66" s="103"/>
      <x:c r="I66" s="103"/>
      <x:c r="J66" s="103"/>
    </x:row>
    <x:row r="67">
      <x:c r="A67" s="132"/>
      <x:c r="B67" s="103"/>
      <x:c r="C67" s="103" t="str">
        <x:f>IF(B67="","",IF(OR(B67="Biologia",B67="Quimica",B67="Fisica"),"Ciencias da Natureza",IF(B67="Humanas","Ciencias Humanas",B67)))</x:f>
      </x:c>
      <x:c r="D67" s="103"/>
      <x:c r="E67" s="103"/>
      <x:c r="F67" s="103" t="str">
        <x:f>IF(B67="","",IF(OR(B67="Biologia",B67="Quimica",B67="Fisica"),3,IF(OR(B67="Redacao",B67="Linguagens"),2,1.5)))</x:f>
      </x:c>
      <x:c r="G67" s="139" t="str">
        <x:f>IF(A67="","",A67+IF(F67&gt;=2,2,3))</x:f>
      </x:c>
      <x:c r="H67" s="103"/>
      <x:c r="I67" s="103"/>
      <x:c r="J67" s="103"/>
    </x:row>
    <x:row r="68">
      <x:c r="A68" s="132"/>
      <x:c r="B68" s="103"/>
      <x:c r="C68" s="103" t="str">
        <x:f>IF(B68="","",IF(OR(B68="Biologia",B68="Quimica",B68="Fisica"),"Ciencias da Natureza",IF(B68="Humanas","Ciencias Humanas",B68)))</x:f>
      </x:c>
      <x:c r="D68" s="103"/>
      <x:c r="E68" s="103"/>
      <x:c r="F68" s="103" t="str">
        <x:f>IF(B68="","",IF(OR(B68="Biologia",B68="Quimica",B68="Fisica"),3,IF(OR(B68="Redacao",B68="Linguagens"),2,1.5)))</x:f>
      </x:c>
      <x:c r="G68" s="139" t="str">
        <x:f>IF(A68="","",A68+IF(F68&gt;=2,2,3))</x:f>
      </x:c>
      <x:c r="H68" s="103"/>
      <x:c r="I68" s="103"/>
      <x:c r="J68" s="103"/>
    </x:row>
    <x:row r="69">
      <x:c r="A69" s="132"/>
      <x:c r="B69" s="103"/>
      <x:c r="C69" s="103" t="str">
        <x:f>IF(B69="","",IF(OR(B69="Biologia",B69="Quimica",B69="Fisica"),"Ciencias da Natureza",IF(B69="Humanas","Ciencias Humanas",B69)))</x:f>
      </x:c>
      <x:c r="D69" s="103"/>
      <x:c r="E69" s="103"/>
      <x:c r="F69" s="103" t="str">
        <x:f>IF(B69="","",IF(OR(B69="Biologia",B69="Quimica",B69="Fisica"),3,IF(OR(B69="Redacao",B69="Linguagens"),2,1.5)))</x:f>
      </x:c>
      <x:c r="G69" s="139" t="str">
        <x:f>IF(A69="","",A69+IF(F69&gt;=2,2,3))</x:f>
      </x:c>
      <x:c r="H69" s="103"/>
      <x:c r="I69" s="103"/>
      <x:c r="J69" s="103"/>
    </x:row>
    <x:row r="70">
      <x:c r="A70" s="132"/>
      <x:c r="B70" s="103"/>
      <x:c r="C70" s="103" t="str">
        <x:f>IF(B70="","",IF(OR(B70="Biologia",B70="Quimica",B70="Fisica"),"Ciencias da Natureza",IF(B70="Humanas","Ciencias Humanas",B70)))</x:f>
      </x:c>
      <x:c r="D70" s="103"/>
      <x:c r="E70" s="103"/>
      <x:c r="F70" s="103" t="str">
        <x:f>IF(B70="","",IF(OR(B70="Biologia",B70="Quimica",B70="Fisica"),3,IF(OR(B70="Redacao",B70="Linguagens"),2,1.5)))</x:f>
      </x:c>
      <x:c r="G70" s="139" t="str">
        <x:f>IF(A70="","",A70+IF(F70&gt;=2,2,3))</x:f>
      </x:c>
      <x:c r="H70" s="103"/>
      <x:c r="I70" s="103"/>
      <x:c r="J70" s="103"/>
    </x:row>
    <x:row r="71">
      <x:c r="A71" s="132"/>
      <x:c r="B71" s="103"/>
      <x:c r="C71" s="103" t="str">
        <x:f>IF(B71="","",IF(OR(B71="Biologia",B71="Quimica",B71="Fisica"),"Ciencias da Natureza",IF(B71="Humanas","Ciencias Humanas",B71)))</x:f>
      </x:c>
      <x:c r="D71" s="103"/>
      <x:c r="E71" s="103"/>
      <x:c r="F71" s="103" t="str">
        <x:f>IF(B71="","",IF(OR(B71="Biologia",B71="Quimica",B71="Fisica"),3,IF(OR(B71="Redacao",B71="Linguagens"),2,1.5)))</x:f>
      </x:c>
      <x:c r="G71" s="139" t="str">
        <x:f>IF(A71="","",A71+IF(F71&gt;=2,2,3))</x:f>
      </x:c>
      <x:c r="H71" s="103"/>
      <x:c r="I71" s="103"/>
      <x:c r="J71" s="103"/>
    </x:row>
    <x:row r="72">
      <x:c r="A72" s="132"/>
      <x:c r="B72" s="103"/>
      <x:c r="C72" s="103" t="str">
        <x:f>IF(B72="","",IF(OR(B72="Biologia",B72="Quimica",B72="Fisica"),"Ciencias da Natureza",IF(B72="Humanas","Ciencias Humanas",B72)))</x:f>
      </x:c>
      <x:c r="D72" s="103"/>
      <x:c r="E72" s="103"/>
      <x:c r="F72" s="103" t="str">
        <x:f>IF(B72="","",IF(OR(B72="Biologia",B72="Quimica",B72="Fisica"),3,IF(OR(B72="Redacao",B72="Linguagens"),2,1.5)))</x:f>
      </x:c>
      <x:c r="G72" s="139" t="str">
        <x:f>IF(A72="","",A72+IF(F72&gt;=2,2,3))</x:f>
      </x:c>
      <x:c r="H72" s="103"/>
      <x:c r="I72" s="103"/>
      <x:c r="J72" s="103"/>
    </x:row>
    <x:row r="73">
      <x:c r="A73" s="132"/>
      <x:c r="B73" s="103"/>
      <x:c r="C73" s="103" t="str">
        <x:f>IF(B73="","",IF(OR(B73="Biologia",B73="Quimica",B73="Fisica"),"Ciencias da Natureza",IF(B73="Humanas","Ciencias Humanas",B73)))</x:f>
      </x:c>
      <x:c r="D73" s="103"/>
      <x:c r="E73" s="103"/>
      <x:c r="F73" s="103" t="str">
        <x:f>IF(B73="","",IF(OR(B73="Biologia",B73="Quimica",B73="Fisica"),3,IF(OR(B73="Redacao",B73="Linguagens"),2,1.5)))</x:f>
      </x:c>
      <x:c r="G73" s="139" t="str">
        <x:f>IF(A73="","",A73+IF(F73&gt;=2,2,3))</x:f>
      </x:c>
      <x:c r="H73" s="103"/>
      <x:c r="I73" s="103"/>
      <x:c r="J73" s="103"/>
    </x:row>
    <x:row r="74">
      <x:c r="A74" s="132"/>
      <x:c r="B74" s="103"/>
      <x:c r="C74" s="103" t="str">
        <x:f>IF(B74="","",IF(OR(B74="Biologia",B74="Quimica",B74="Fisica"),"Ciencias da Natureza",IF(B74="Humanas","Ciencias Humanas",B74)))</x:f>
      </x:c>
      <x:c r="D74" s="103"/>
      <x:c r="E74" s="103"/>
      <x:c r="F74" s="103" t="str">
        <x:f>IF(B74="","",IF(OR(B74="Biologia",B74="Quimica",B74="Fisica"),3,IF(OR(B74="Redacao",B74="Linguagens"),2,1.5)))</x:f>
      </x:c>
      <x:c r="G74" s="139" t="str">
        <x:f>IF(A74="","",A74+IF(F74&gt;=2,2,3))</x:f>
      </x:c>
      <x:c r="H74" s="103"/>
      <x:c r="I74" s="103"/>
      <x:c r="J74" s="103"/>
    </x:row>
    <x:row r="75">
      <x:c r="A75" s="132"/>
      <x:c r="B75" s="103"/>
      <x:c r="C75" s="103" t="str">
        <x:f>IF(B75="","",IF(OR(B75="Biologia",B75="Quimica",B75="Fisica"),"Ciencias da Natureza",IF(B75="Humanas","Ciencias Humanas",B75)))</x:f>
      </x:c>
      <x:c r="D75" s="103"/>
      <x:c r="E75" s="103"/>
      <x:c r="F75" s="103" t="str">
        <x:f>IF(B75="","",IF(OR(B75="Biologia",B75="Quimica",B75="Fisica"),3,IF(OR(B75="Redacao",B75="Linguagens"),2,1.5)))</x:f>
      </x:c>
      <x:c r="G75" s="139" t="str">
        <x:f>IF(A75="","",A75+IF(F75&gt;=2,2,3))</x:f>
      </x:c>
      <x:c r="H75" s="103"/>
      <x:c r="I75" s="103"/>
      <x:c r="J75" s="103"/>
    </x:row>
    <x:row r="76">
      <x:c r="A76" s="132"/>
      <x:c r="B76" s="103"/>
      <x:c r="C76" s="103" t="str">
        <x:f>IF(B76="","",IF(OR(B76="Biologia",B76="Quimica",B76="Fisica"),"Ciencias da Natureza",IF(B76="Humanas","Ciencias Humanas",B76)))</x:f>
      </x:c>
      <x:c r="D76" s="103"/>
      <x:c r="E76" s="103"/>
      <x:c r="F76" s="103" t="str">
        <x:f>IF(B76="","",IF(OR(B76="Biologia",B76="Quimica",B76="Fisica"),3,IF(OR(B76="Redacao",B76="Linguagens"),2,1.5)))</x:f>
      </x:c>
      <x:c r="G76" s="139" t="str">
        <x:f>IF(A76="","",A76+IF(F76&gt;=2,2,3))</x:f>
      </x:c>
      <x:c r="H76" s="103"/>
      <x:c r="I76" s="103"/>
      <x:c r="J76" s="103"/>
    </x:row>
    <x:row r="77">
      <x:c r="A77" s="132"/>
      <x:c r="B77" s="103"/>
      <x:c r="C77" s="103" t="str">
        <x:f>IF(B77="","",IF(OR(B77="Biologia",B77="Quimica",B77="Fisica"),"Ciencias da Natureza",IF(B77="Humanas","Ciencias Humanas",B77)))</x:f>
      </x:c>
      <x:c r="D77" s="103"/>
      <x:c r="E77" s="103"/>
      <x:c r="F77" s="103" t="str">
        <x:f>IF(B77="","",IF(OR(B77="Biologia",B77="Quimica",B77="Fisica"),3,IF(OR(B77="Redacao",B77="Linguagens"),2,1.5)))</x:f>
      </x:c>
      <x:c r="G77" s="139" t="str">
        <x:f>IF(A77="","",A77+IF(F77&gt;=2,2,3))</x:f>
      </x:c>
      <x:c r="H77" s="103"/>
      <x:c r="I77" s="103"/>
      <x:c r="J77" s="103"/>
    </x:row>
    <x:row r="78">
      <x:c r="A78" s="132"/>
      <x:c r="B78" s="103"/>
      <x:c r="C78" s="103" t="str">
        <x:f>IF(B78="","",IF(OR(B78="Biologia",B78="Quimica",B78="Fisica"),"Ciencias da Natureza",IF(B78="Humanas","Ciencias Humanas",B78)))</x:f>
      </x:c>
      <x:c r="D78" s="103"/>
      <x:c r="E78" s="103"/>
      <x:c r="F78" s="103" t="str">
        <x:f>IF(B78="","",IF(OR(B78="Biologia",B78="Quimica",B78="Fisica"),3,IF(OR(B78="Redacao",B78="Linguagens"),2,1.5)))</x:f>
      </x:c>
      <x:c r="G78" s="139" t="str">
        <x:f>IF(A78="","",A78+IF(F78&gt;=2,2,3))</x:f>
      </x:c>
      <x:c r="H78" s="103"/>
      <x:c r="I78" s="103"/>
      <x:c r="J78" s="103"/>
    </x:row>
    <x:row r="79">
      <x:c r="A79" s="132"/>
      <x:c r="B79" s="103"/>
      <x:c r="C79" s="103" t="str">
        <x:f>IF(B79="","",IF(OR(B79="Biologia",B79="Quimica",B79="Fisica"),"Ciencias da Natureza",IF(B79="Humanas","Ciencias Humanas",B79)))</x:f>
      </x:c>
      <x:c r="D79" s="103"/>
      <x:c r="E79" s="103"/>
      <x:c r="F79" s="103" t="str">
        <x:f>IF(B79="","",IF(OR(B79="Biologia",B79="Quimica",B79="Fisica"),3,IF(OR(B79="Redacao",B79="Linguagens"),2,1.5)))</x:f>
      </x:c>
      <x:c r="G79" s="139" t="str">
        <x:f>IF(A79="","",A79+IF(F79&gt;=2,2,3))</x:f>
      </x:c>
      <x:c r="H79" s="103"/>
      <x:c r="I79" s="103"/>
      <x:c r="J79" s="103"/>
    </x:row>
    <x:row r="80">
      <x:c r="A80" s="132"/>
      <x:c r="B80" s="103"/>
      <x:c r="C80" s="103" t="str">
        <x:f>IF(B80="","",IF(OR(B80="Biologia",B80="Quimica",B80="Fisica"),"Ciencias da Natureza",IF(B80="Humanas","Ciencias Humanas",B80)))</x:f>
      </x:c>
      <x:c r="D80" s="103"/>
      <x:c r="E80" s="103"/>
      <x:c r="F80" s="103" t="str">
        <x:f>IF(B80="","",IF(OR(B80="Biologia",B80="Quimica",B80="Fisica"),3,IF(OR(B80="Redacao",B80="Linguagens"),2,1.5)))</x:f>
      </x:c>
      <x:c r="G80" s="139" t="str">
        <x:f>IF(A80="","",A80+IF(F80&gt;=2,2,3))</x:f>
      </x:c>
      <x:c r="H80" s="103"/>
      <x:c r="I80" s="103"/>
      <x:c r="J80" s="103"/>
    </x:row>
    <x:row r="81">
      <x:c r="A81" s="132"/>
      <x:c r="B81" s="103"/>
      <x:c r="C81" s="103" t="str">
        <x:f>IF(B81="","",IF(OR(B81="Biologia",B81="Quimica",B81="Fisica"),"Ciencias da Natureza",IF(B81="Humanas","Ciencias Humanas",B81)))</x:f>
      </x:c>
      <x:c r="D81" s="103"/>
      <x:c r="E81" s="103"/>
      <x:c r="F81" s="103" t="str">
        <x:f>IF(B81="","",IF(OR(B81="Biologia",B81="Quimica",B81="Fisica"),3,IF(OR(B81="Redacao",B81="Linguagens"),2,1.5)))</x:f>
      </x:c>
      <x:c r="G81" s="139" t="str">
        <x:f>IF(A81="","",A81+IF(F81&gt;=2,2,3))</x:f>
      </x:c>
      <x:c r="H81" s="103"/>
      <x:c r="I81" s="103"/>
      <x:c r="J81" s="103"/>
    </x:row>
    <x:row r="82">
      <x:c r="A82" s="132"/>
      <x:c r="B82" s="103"/>
      <x:c r="C82" s="103" t="str">
        <x:f>IF(B82="","",IF(OR(B82="Biologia",B82="Quimica",B82="Fisica"),"Ciencias da Natureza",IF(B82="Humanas","Ciencias Humanas",B82)))</x:f>
      </x:c>
      <x:c r="D82" s="103"/>
      <x:c r="E82" s="103"/>
      <x:c r="F82" s="103" t="str">
        <x:f>IF(B82="","",IF(OR(B82="Biologia",B82="Quimica",B82="Fisica"),3,IF(OR(B82="Redacao",B82="Linguagens"),2,1.5)))</x:f>
      </x:c>
      <x:c r="G82" s="139" t="str">
        <x:f>IF(A82="","",A82+IF(F82&gt;=2,2,3))</x:f>
      </x:c>
      <x:c r="H82" s="103"/>
      <x:c r="I82" s="103"/>
      <x:c r="J82" s="103"/>
    </x:row>
    <x:row r="83">
      <x:c r="A83" s="132"/>
      <x:c r="B83" s="103"/>
      <x:c r="C83" s="103" t="str">
        <x:f>IF(B83="","",IF(OR(B83="Biologia",B83="Quimica",B83="Fisica"),"Ciencias da Natureza",IF(B83="Humanas","Ciencias Humanas",B83)))</x:f>
      </x:c>
      <x:c r="D83" s="103"/>
      <x:c r="E83" s="103"/>
      <x:c r="F83" s="103" t="str">
        <x:f>IF(B83="","",IF(OR(B83="Biologia",B83="Quimica",B83="Fisica"),3,IF(OR(B83="Redacao",B83="Linguagens"),2,1.5)))</x:f>
      </x:c>
      <x:c r="G83" s="139" t="str">
        <x:f>IF(A83="","",A83+IF(F83&gt;=2,2,3))</x:f>
      </x:c>
      <x:c r="H83" s="103"/>
      <x:c r="I83" s="103"/>
      <x:c r="J83" s="103"/>
    </x:row>
    <x:row r="84">
      <x:c r="A84" s="132"/>
      <x:c r="B84" s="103"/>
      <x:c r="C84" s="103" t="str">
        <x:f>IF(B84="","",IF(OR(B84="Biologia",B84="Quimica",B84="Fisica"),"Ciencias da Natureza",IF(B84="Humanas","Ciencias Humanas",B84)))</x:f>
      </x:c>
      <x:c r="D84" s="103"/>
      <x:c r="E84" s="103"/>
      <x:c r="F84" s="103" t="str">
        <x:f>IF(B84="","",IF(OR(B84="Biologia",B84="Quimica",B84="Fisica"),3,IF(OR(B84="Redacao",B84="Linguagens"),2,1.5)))</x:f>
      </x:c>
      <x:c r="G84" s="139" t="str">
        <x:f>IF(A84="","",A84+IF(F84&gt;=2,2,3))</x:f>
      </x:c>
      <x:c r="H84" s="103"/>
      <x:c r="I84" s="103"/>
      <x:c r="J84" s="103"/>
    </x:row>
    <x:row r="85">
      <x:c r="A85" s="132"/>
      <x:c r="B85" s="103"/>
      <x:c r="C85" s="103" t="str">
        <x:f>IF(B85="","",IF(OR(B85="Biologia",B85="Quimica",B85="Fisica"),"Ciencias da Natureza",IF(B85="Humanas","Ciencias Humanas",B85)))</x:f>
      </x:c>
      <x:c r="D85" s="103"/>
      <x:c r="E85" s="103"/>
      <x:c r="F85" s="103" t="str">
        <x:f>IF(B85="","",IF(OR(B85="Biologia",B85="Quimica",B85="Fisica"),3,IF(OR(B85="Redacao",B85="Linguagens"),2,1.5)))</x:f>
      </x:c>
      <x:c r="G85" s="139" t="str">
        <x:f>IF(A85="","",A85+IF(F85&gt;=2,2,3))</x:f>
      </x:c>
      <x:c r="H85" s="103"/>
      <x:c r="I85" s="103"/>
      <x:c r="J85" s="103"/>
    </x:row>
    <x:row r="86">
      <x:c r="A86" s="132"/>
      <x:c r="B86" s="103"/>
      <x:c r="C86" s="103" t="str">
        <x:f>IF(B86="","",IF(OR(B86="Biologia",B86="Quimica",B86="Fisica"),"Ciencias da Natureza",IF(B86="Humanas","Ciencias Humanas",B86)))</x:f>
      </x:c>
      <x:c r="D86" s="103"/>
      <x:c r="E86" s="103"/>
      <x:c r="F86" s="103" t="str">
        <x:f>IF(B86="","",IF(OR(B86="Biologia",B86="Quimica",B86="Fisica"),3,IF(OR(B86="Redacao",B86="Linguagens"),2,1.5)))</x:f>
      </x:c>
      <x:c r="G86" s="139" t="str">
        <x:f>IF(A86="","",A86+IF(F86&gt;=2,2,3))</x:f>
      </x:c>
      <x:c r="H86" s="103"/>
      <x:c r="I86" s="103"/>
      <x:c r="J86" s="103"/>
    </x:row>
    <x:row r="87">
      <x:c r="A87" s="132"/>
      <x:c r="B87" s="103"/>
      <x:c r="C87" s="103" t="str">
        <x:f>IF(B87="","",IF(OR(B87="Biologia",B87="Quimica",B87="Fisica"),"Ciencias da Natureza",IF(B87="Humanas","Ciencias Humanas",B87)))</x:f>
      </x:c>
      <x:c r="D87" s="103"/>
      <x:c r="E87" s="103"/>
      <x:c r="F87" s="103" t="str">
        <x:f>IF(B87="","",IF(OR(B87="Biologia",B87="Quimica",B87="Fisica"),3,IF(OR(B87="Redacao",B87="Linguagens"),2,1.5)))</x:f>
      </x:c>
      <x:c r="G87" s="139" t="str">
        <x:f>IF(A87="","",A87+IF(F87&gt;=2,2,3))</x:f>
      </x:c>
      <x:c r="H87" s="103"/>
      <x:c r="I87" s="103"/>
      <x:c r="J87" s="103"/>
    </x:row>
    <x:row r="88">
      <x:c r="A88" s="132"/>
      <x:c r="B88" s="103"/>
      <x:c r="C88" s="103" t="str">
        <x:f>IF(B88="","",IF(OR(B88="Biologia",B88="Quimica",B88="Fisica"),"Ciencias da Natureza",IF(B88="Humanas","Ciencias Humanas",B88)))</x:f>
      </x:c>
      <x:c r="D88" s="103"/>
      <x:c r="E88" s="103"/>
      <x:c r="F88" s="103" t="str">
        <x:f>IF(B88="","",IF(OR(B88="Biologia",B88="Quimica",B88="Fisica"),3,IF(OR(B88="Redacao",B88="Linguagens"),2,1.5)))</x:f>
      </x:c>
      <x:c r="G88" s="139" t="str">
        <x:f>IF(A88="","",A88+IF(F88&gt;=2,2,3))</x:f>
      </x:c>
      <x:c r="H88" s="103"/>
      <x:c r="I88" s="103"/>
      <x:c r="J88" s="103"/>
    </x:row>
    <x:row r="89">
      <x:c r="A89" s="132"/>
      <x:c r="B89" s="103"/>
      <x:c r="C89" s="103" t="str">
        <x:f>IF(B89="","",IF(OR(B89="Biologia",B89="Quimica",B89="Fisica"),"Ciencias da Natureza",IF(B89="Humanas","Ciencias Humanas",B89)))</x:f>
      </x:c>
      <x:c r="D89" s="103"/>
      <x:c r="E89" s="103"/>
      <x:c r="F89" s="103" t="str">
        <x:f>IF(B89="","",IF(OR(B89="Biologia",B89="Quimica",B89="Fisica"),3,IF(OR(B89="Redacao",B89="Linguagens"),2,1.5)))</x:f>
      </x:c>
      <x:c r="G89" s="139" t="str">
        <x:f>IF(A89="","",A89+IF(F89&gt;=2,2,3))</x:f>
      </x:c>
      <x:c r="H89" s="103"/>
      <x:c r="I89" s="103"/>
      <x:c r="J89" s="103"/>
    </x:row>
    <x:row r="90">
      <x:c r="A90" s="132"/>
      <x:c r="B90" s="103"/>
      <x:c r="C90" s="103" t="str">
        <x:f>IF(B90="","",IF(OR(B90="Biologia",B90="Quimica",B90="Fisica"),"Ciencias da Natureza",IF(B90="Humanas","Ciencias Humanas",B90)))</x:f>
      </x:c>
      <x:c r="D90" s="103"/>
      <x:c r="E90" s="103"/>
      <x:c r="F90" s="103" t="str">
        <x:f>IF(B90="","",IF(OR(B90="Biologia",B90="Quimica",B90="Fisica"),3,IF(OR(B90="Redacao",B90="Linguagens"),2,1.5)))</x:f>
      </x:c>
      <x:c r="G90" s="139" t="str">
        <x:f>IF(A90="","",A90+IF(F90&gt;=2,2,3))</x:f>
      </x:c>
      <x:c r="H90" s="103"/>
      <x:c r="I90" s="103"/>
      <x:c r="J90" s="103"/>
    </x:row>
    <x:row r="91">
      <x:c r="A91" s="132"/>
      <x:c r="B91" s="103"/>
      <x:c r="C91" s="103" t="str">
        <x:f>IF(B91="","",IF(OR(B91="Biologia",B91="Quimica",B91="Fisica"),"Ciencias da Natureza",IF(B91="Humanas","Ciencias Humanas",B91)))</x:f>
      </x:c>
      <x:c r="D91" s="103"/>
      <x:c r="E91" s="103"/>
      <x:c r="F91" s="103" t="str">
        <x:f>IF(B91="","",IF(OR(B91="Biologia",B91="Quimica",B91="Fisica"),3,IF(OR(B91="Redacao",B91="Linguagens"),2,1.5)))</x:f>
      </x:c>
      <x:c r="G91" s="139" t="str">
        <x:f>IF(A91="","",A91+IF(F91&gt;=2,2,3))</x:f>
      </x:c>
      <x:c r="H91" s="103"/>
      <x:c r="I91" s="103"/>
      <x:c r="J91" s="103"/>
    </x:row>
    <x:row r="92">
      <x:c r="A92" s="132"/>
      <x:c r="B92" s="103"/>
      <x:c r="C92" s="103" t="str">
        <x:f>IF(B92="","",IF(OR(B92="Biologia",B92="Quimica",B92="Fisica"),"Ciencias da Natureza",IF(B92="Humanas","Ciencias Humanas",B92)))</x:f>
      </x:c>
      <x:c r="D92" s="103"/>
      <x:c r="E92" s="103"/>
      <x:c r="F92" s="103" t="str">
        <x:f>IF(B92="","",IF(OR(B92="Biologia",B92="Quimica",B92="Fisica"),3,IF(OR(B92="Redacao",B92="Linguagens"),2,1.5)))</x:f>
      </x:c>
      <x:c r="G92" s="139" t="str">
        <x:f>IF(A92="","",A92+IF(F92&gt;=2,2,3))</x:f>
      </x:c>
      <x:c r="H92" s="103"/>
      <x:c r="I92" s="103"/>
      <x:c r="J92" s="103"/>
    </x:row>
    <x:row r="93">
      <x:c r="A93" s="132"/>
      <x:c r="B93" s="103"/>
      <x:c r="C93" s="103" t="str">
        <x:f>IF(B93="","",IF(OR(B93="Biologia",B93="Quimica",B93="Fisica"),"Ciencias da Natureza",IF(B93="Humanas","Ciencias Humanas",B93)))</x:f>
      </x:c>
      <x:c r="D93" s="103"/>
      <x:c r="E93" s="103"/>
      <x:c r="F93" s="103" t="str">
        <x:f>IF(B93="","",IF(OR(B93="Biologia",B93="Quimica",B93="Fisica"),3,IF(OR(B93="Redacao",B93="Linguagens"),2,1.5)))</x:f>
      </x:c>
      <x:c r="G93" s="139" t="str">
        <x:f>IF(A93="","",A93+IF(F93&gt;=2,2,3))</x:f>
      </x:c>
      <x:c r="H93" s="103"/>
      <x:c r="I93" s="103"/>
      <x:c r="J93" s="103"/>
    </x:row>
    <x:row r="94">
      <x:c r="A94" s="132"/>
      <x:c r="B94" s="103"/>
      <x:c r="C94" s="103" t="str">
        <x:f>IF(B94="","",IF(OR(B94="Biologia",B94="Quimica",B94="Fisica"),"Ciencias da Natureza",IF(B94="Humanas","Ciencias Humanas",B94)))</x:f>
      </x:c>
      <x:c r="D94" s="103"/>
      <x:c r="E94" s="103"/>
      <x:c r="F94" s="103" t="str">
        <x:f>IF(B94="","",IF(OR(B94="Biologia",B94="Quimica",B94="Fisica"),3,IF(OR(B94="Redacao",B94="Linguagens"),2,1.5)))</x:f>
      </x:c>
      <x:c r="G94" s="139" t="str">
        <x:f>IF(A94="","",A94+IF(F94&gt;=2,2,3))</x:f>
      </x:c>
      <x:c r="H94" s="103"/>
      <x:c r="I94" s="103"/>
      <x:c r="J94" s="103"/>
    </x:row>
    <x:row r="95">
      <x:c r="A95" s="132"/>
      <x:c r="B95" s="103"/>
      <x:c r="C95" s="103" t="str">
        <x:f>IF(B95="","",IF(OR(B95="Biologia",B95="Quimica",B95="Fisica"),"Ciencias da Natureza",IF(B95="Humanas","Ciencias Humanas",B95)))</x:f>
      </x:c>
      <x:c r="D95" s="103"/>
      <x:c r="E95" s="103"/>
      <x:c r="F95" s="103" t="str">
        <x:f>IF(B95="","",IF(OR(B95="Biologia",B95="Quimica",B95="Fisica"),3,IF(OR(B95="Redacao",B95="Linguagens"),2,1.5)))</x:f>
      </x:c>
      <x:c r="G95" s="139" t="str">
        <x:f>IF(A95="","",A95+IF(F95&gt;=2,2,3))</x:f>
      </x:c>
      <x:c r="H95" s="103"/>
      <x:c r="I95" s="103"/>
      <x:c r="J95" s="103"/>
    </x:row>
    <x:row r="96">
      <x:c r="A96" s="132"/>
      <x:c r="B96" s="103"/>
      <x:c r="C96" s="103" t="str">
        <x:f>IF(B96="","",IF(OR(B96="Biologia",B96="Quimica",B96="Fisica"),"Ciencias da Natureza",IF(B96="Humanas","Ciencias Humanas",B96)))</x:f>
      </x:c>
      <x:c r="D96" s="103"/>
      <x:c r="E96" s="103"/>
      <x:c r="F96" s="103" t="str">
        <x:f>IF(B96="","",IF(OR(B96="Biologia",B96="Quimica",B96="Fisica"),3,IF(OR(B96="Redacao",B96="Linguagens"),2,1.5)))</x:f>
      </x:c>
      <x:c r="G96" s="139" t="str">
        <x:f>IF(A96="","",A96+IF(F96&gt;=2,2,3))</x:f>
      </x:c>
      <x:c r="H96" s="103"/>
      <x:c r="I96" s="103"/>
      <x:c r="J96" s="103"/>
    </x:row>
    <x:row r="97">
      <x:c r="A97" s="132"/>
      <x:c r="B97" s="103"/>
      <x:c r="C97" s="103" t="str">
        <x:f>IF(B97="","",IF(OR(B97="Biologia",B97="Quimica",B97="Fisica"),"Ciencias da Natureza",IF(B97="Humanas","Ciencias Humanas",B97)))</x:f>
      </x:c>
      <x:c r="D97" s="103"/>
      <x:c r="E97" s="103"/>
      <x:c r="F97" s="103" t="str">
        <x:f>IF(B97="","",IF(OR(B97="Biologia",B97="Quimica",B97="Fisica"),3,IF(OR(B97="Redacao",B97="Linguagens"),2,1.5)))</x:f>
      </x:c>
      <x:c r="G97" s="139" t="str">
        <x:f>IF(A97="","",A97+IF(F97&gt;=2,2,3))</x:f>
      </x:c>
      <x:c r="H97" s="103"/>
      <x:c r="I97" s="103"/>
      <x:c r="J97" s="103"/>
    </x:row>
    <x:row r="98">
      <x:c r="A98" s="132"/>
      <x:c r="B98" s="103"/>
      <x:c r="C98" s="103" t="str">
        <x:f>IF(B98="","",IF(OR(B98="Biologia",B98="Quimica",B98="Fisica"),"Ciencias da Natureza",IF(B98="Humanas","Ciencias Humanas",B98)))</x:f>
      </x:c>
      <x:c r="D98" s="103"/>
      <x:c r="E98" s="103"/>
      <x:c r="F98" s="103" t="str">
        <x:f>IF(B98="","",IF(OR(B98="Biologia",B98="Quimica",B98="Fisica"),3,IF(OR(B98="Redacao",B98="Linguagens"),2,1.5)))</x:f>
      </x:c>
      <x:c r="G98" s="139" t="str">
        <x:f>IF(A98="","",A98+IF(F98&gt;=2,2,3))</x:f>
      </x:c>
      <x:c r="H98" s="103"/>
      <x:c r="I98" s="103"/>
      <x:c r="J98" s="103"/>
    </x:row>
    <x:row r="99">
      <x:c r="A99" s="132"/>
      <x:c r="B99" s="103"/>
      <x:c r="C99" s="103" t="str">
        <x:f>IF(B99="","",IF(OR(B99="Biologia",B99="Quimica",B99="Fisica"),"Ciencias da Natureza",IF(B99="Humanas","Ciencias Humanas",B99)))</x:f>
      </x:c>
      <x:c r="D99" s="103"/>
      <x:c r="E99" s="103"/>
      <x:c r="F99" s="103" t="str">
        <x:f>IF(B99="","",IF(OR(B99="Biologia",B99="Quimica",B99="Fisica"),3,IF(OR(B99="Redacao",B99="Linguagens"),2,1.5)))</x:f>
      </x:c>
      <x:c r="G99" s="139" t="str">
        <x:f>IF(A99="","",A99+IF(F99&gt;=2,2,3))</x:f>
      </x:c>
      <x:c r="H99" s="103"/>
      <x:c r="I99" s="103"/>
      <x:c r="J99" s="103"/>
    </x:row>
    <x:row r="100">
      <x:c r="A100" s="132"/>
      <x:c r="B100" s="103"/>
      <x:c r="C100" s="103" t="str">
        <x:f>IF(B100="","",IF(OR(B100="Biologia",B100="Quimica",B100="Fisica"),"Ciencias da Natureza",IF(B100="Humanas","Ciencias Humanas",B100)))</x:f>
      </x:c>
      <x:c r="D100" s="103"/>
      <x:c r="E100" s="103"/>
      <x:c r="F100" s="103" t="str">
        <x:f>IF(B100="","",IF(OR(B100="Biologia",B100="Quimica",B100="Fisica"),3,IF(OR(B100="Redacao",B100="Linguagens"),2,1.5)))</x:f>
      </x:c>
      <x:c r="G100" s="139" t="str">
        <x:f>IF(A100="","",A100+IF(F100&gt;=2,2,3))</x:f>
      </x:c>
      <x:c r="H100" s="103"/>
      <x:c r="I100" s="103"/>
      <x:c r="J100" s="103"/>
    </x:row>
    <x:row r="101">
      <x:c r="A101" s="132"/>
      <x:c r="B101" s="103"/>
      <x:c r="C101" s="103" t="str">
        <x:f>IF(B101="","",IF(OR(B101="Biologia",B101="Quimica",B101="Fisica"),"Ciencias da Natureza",IF(B101="Humanas","Ciencias Humanas",B101)))</x:f>
      </x:c>
      <x:c r="D101" s="103"/>
      <x:c r="E101" s="103"/>
      <x:c r="F101" s="103" t="str">
        <x:f>IF(B101="","",IF(OR(B101="Biologia",B101="Quimica",B101="Fisica"),3,IF(OR(B101="Redacao",B101="Linguagens"),2,1.5)))</x:f>
      </x:c>
      <x:c r="G101" s="139" t="str">
        <x:f>IF(A101="","",A101+IF(F101&gt;=2,2,3))</x:f>
      </x:c>
      <x:c r="H101" s="103"/>
      <x:c r="I101" s="103"/>
      <x:c r="J101" s="103"/>
    </x:row>
    <x:row r="102">
      <x:c r="A102" s="132"/>
      <x:c r="B102" s="103"/>
      <x:c r="C102" s="103" t="str">
        <x:f>IF(B102="","",IF(OR(B102="Biologia",B102="Quimica",B102="Fisica"),"Ciencias da Natureza",IF(B102="Humanas","Ciencias Humanas",B102)))</x:f>
      </x:c>
      <x:c r="D102" s="103"/>
      <x:c r="E102" s="103"/>
      <x:c r="F102" s="103" t="str">
        <x:f>IF(B102="","",IF(OR(B102="Biologia",B102="Quimica",B102="Fisica"),3,IF(OR(B102="Redacao",B102="Linguagens"),2,1.5)))</x:f>
      </x:c>
      <x:c r="G102" s="139" t="str">
        <x:f>IF(A102="","",A102+IF(F102&gt;=2,2,3))</x:f>
      </x:c>
      <x:c r="H102" s="103"/>
      <x:c r="I102" s="103"/>
      <x:c r="J102" s="103"/>
    </x:row>
    <x:row r="103">
      <x:c r="A103" s="132"/>
      <x:c r="B103" s="103"/>
      <x:c r="C103" s="103" t="str">
        <x:f>IF(B103="","",IF(OR(B103="Biologia",B103="Quimica",B103="Fisica"),"Ciencias da Natureza",IF(B103="Humanas","Ciencias Humanas",B103)))</x:f>
      </x:c>
      <x:c r="D103" s="103"/>
      <x:c r="E103" s="103"/>
      <x:c r="F103" s="103" t="str">
        <x:f>IF(B103="","",IF(OR(B103="Biologia",B103="Quimica",B103="Fisica"),3,IF(OR(B103="Redacao",B103="Linguagens"),2,1.5)))</x:f>
      </x:c>
      <x:c r="G103" s="139" t="str">
        <x:f>IF(A103="","",A103+IF(F103&gt;=2,2,3))</x:f>
      </x:c>
      <x:c r="H103" s="103"/>
      <x:c r="I103" s="103"/>
      <x:c r="J103" s="103"/>
    </x:row>
    <x:row r="104">
      <x:c r="A104" s="132"/>
      <x:c r="B104" s="103"/>
      <x:c r="C104" s="103" t="str">
        <x:f>IF(B104="","",IF(OR(B104="Biologia",B104="Quimica",B104="Fisica"),"Ciencias da Natureza",IF(B104="Humanas","Ciencias Humanas",B104)))</x:f>
      </x:c>
      <x:c r="D104" s="103"/>
      <x:c r="E104" s="103"/>
      <x:c r="F104" s="103" t="str">
        <x:f>IF(B104="","",IF(OR(B104="Biologia",B104="Quimica",B104="Fisica"),3,IF(OR(B104="Redacao",B104="Linguagens"),2,1.5)))</x:f>
      </x:c>
      <x:c r="G104" s="139" t="str">
        <x:f>IF(A104="","",A104+IF(F104&gt;=2,2,3))</x:f>
      </x:c>
      <x:c r="H104" s="103"/>
      <x:c r="I104" s="103"/>
      <x:c r="J104" s="103"/>
    </x:row>
    <x:row r="105">
      <x:c r="A105" s="132"/>
      <x:c r="B105" s="103"/>
      <x:c r="C105" s="103" t="str">
        <x:f>IF(B105="","",IF(OR(B105="Biologia",B105="Quimica",B105="Fisica"),"Ciencias da Natureza",IF(B105="Humanas","Ciencias Humanas",B105)))</x:f>
      </x:c>
      <x:c r="D105" s="103"/>
      <x:c r="E105" s="103"/>
      <x:c r="F105" s="103" t="str">
        <x:f>IF(B105="","",IF(OR(B105="Biologia",B105="Quimica",B105="Fisica"),3,IF(OR(B105="Redacao",B105="Linguagens"),2,1.5)))</x:f>
      </x:c>
      <x:c r="G105" s="139" t="str">
        <x:f>IF(A105="","",A105+IF(F105&gt;=2,2,3))</x:f>
      </x:c>
      <x:c r="H105" s="103"/>
      <x:c r="I105" s="103"/>
      <x:c r="J105" s="103"/>
    </x:row>
    <x:row r="106">
      <x:c r="A106" s="132"/>
      <x:c r="B106" s="103"/>
      <x:c r="C106" s="103" t="str">
        <x:f>IF(B106="","",IF(OR(B106="Biologia",B106="Quimica",B106="Fisica"),"Ciencias da Natureza",IF(B106="Humanas","Ciencias Humanas",B106)))</x:f>
      </x:c>
      <x:c r="D106" s="103"/>
      <x:c r="E106" s="103"/>
      <x:c r="F106" s="103" t="str">
        <x:f>IF(B106="","",IF(OR(B106="Biologia",B106="Quimica",B106="Fisica"),3,IF(OR(B106="Redacao",B106="Linguagens"),2,1.5)))</x:f>
      </x:c>
      <x:c r="G106" s="139" t="str">
        <x:f>IF(A106="","",A106+IF(F106&gt;=2,2,3))</x:f>
      </x:c>
      <x:c r="H106" s="103"/>
      <x:c r="I106" s="103"/>
      <x:c r="J106" s="103"/>
    </x:row>
    <x:row r="107">
      <x:c r="A107" s="132"/>
      <x:c r="B107" s="103"/>
      <x:c r="C107" s="103" t="str">
        <x:f>IF(B107="","",IF(OR(B107="Biologia",B107="Quimica",B107="Fisica"),"Ciencias da Natureza",IF(B107="Humanas","Ciencias Humanas",B107)))</x:f>
      </x:c>
      <x:c r="D107" s="103"/>
      <x:c r="E107" s="103"/>
      <x:c r="F107" s="103" t="str">
        <x:f>IF(B107="","",IF(OR(B107="Biologia",B107="Quimica",B107="Fisica"),3,IF(OR(B107="Redacao",B107="Linguagens"),2,1.5)))</x:f>
      </x:c>
      <x:c r="G107" s="139" t="str">
        <x:f>IF(A107="","",A107+IF(F107&gt;=2,2,3))</x:f>
      </x:c>
      <x:c r="H107" s="103"/>
      <x:c r="I107" s="103"/>
      <x:c r="J107" s="103"/>
    </x:row>
    <x:row r="108">
      <x:c r="A108" s="132"/>
      <x:c r="B108" s="103"/>
      <x:c r="C108" s="103" t="str">
        <x:f>IF(B108="","",IF(OR(B108="Biologia",B108="Quimica",B108="Fisica"),"Ciencias da Natureza",IF(B108="Humanas","Ciencias Humanas",B108)))</x:f>
      </x:c>
      <x:c r="D108" s="103"/>
      <x:c r="E108" s="103"/>
      <x:c r="F108" s="103" t="str">
        <x:f>IF(B108="","",IF(OR(B108="Biologia",B108="Quimica",B108="Fisica"),3,IF(OR(B108="Redacao",B108="Linguagens"),2,1.5)))</x:f>
      </x:c>
      <x:c r="G108" s="139" t="str">
        <x:f>IF(A108="","",A108+IF(F108&gt;=2,2,3))</x:f>
      </x:c>
      <x:c r="H108" s="103"/>
      <x:c r="I108" s="103"/>
      <x:c r="J108" s="103"/>
    </x:row>
    <x:row r="109">
      <x:c r="A109" s="132"/>
      <x:c r="B109" s="103"/>
      <x:c r="C109" s="103" t="str">
        <x:f>IF(B109="","",IF(OR(B109="Biologia",B109="Quimica",B109="Fisica"),"Ciencias da Natureza",IF(B109="Humanas","Ciencias Humanas",B109)))</x:f>
      </x:c>
      <x:c r="D109" s="103"/>
      <x:c r="E109" s="103"/>
      <x:c r="F109" s="103" t="str">
        <x:f>IF(B109="","",IF(OR(B109="Biologia",B109="Quimica",B109="Fisica"),3,IF(OR(B109="Redacao",B109="Linguagens"),2,1.5)))</x:f>
      </x:c>
      <x:c r="G109" s="139" t="str">
        <x:f>IF(A109="","",A109+IF(F109&gt;=2,2,3))</x:f>
      </x:c>
      <x:c r="H109" s="103"/>
      <x:c r="I109" s="103"/>
      <x:c r="J109" s="103"/>
    </x:row>
    <x:row r="110">
      <x:c r="A110" s="132"/>
      <x:c r="B110" s="103"/>
      <x:c r="C110" s="103" t="str">
        <x:f>IF(B110="","",IF(OR(B110="Biologia",B110="Quimica",B110="Fisica"),"Ciencias da Natureza",IF(B110="Humanas","Ciencias Humanas",B110)))</x:f>
      </x:c>
      <x:c r="D110" s="103"/>
      <x:c r="E110" s="103"/>
      <x:c r="F110" s="103" t="str">
        <x:f>IF(B110="","",IF(OR(B110="Biologia",B110="Quimica",B110="Fisica"),3,IF(OR(B110="Redacao",B110="Linguagens"),2,1.5)))</x:f>
      </x:c>
      <x:c r="G110" s="139" t="str">
        <x:f>IF(A110="","",A110+IF(F110&gt;=2,2,3))</x:f>
      </x:c>
      <x:c r="H110" s="103"/>
      <x:c r="I110" s="103"/>
      <x:c r="J110" s="103"/>
    </x:row>
    <x:row r="111">
      <x:c r="A111" s="132"/>
      <x:c r="B111" s="103"/>
      <x:c r="C111" s="103" t="str">
        <x:f>IF(B111="","",IF(OR(B111="Biologia",B111="Quimica",B111="Fisica"),"Ciencias da Natureza",IF(B111="Humanas","Ciencias Humanas",B111)))</x:f>
      </x:c>
      <x:c r="D111" s="103"/>
      <x:c r="E111" s="103"/>
      <x:c r="F111" s="103" t="str">
        <x:f>IF(B111="","",IF(OR(B111="Biologia",B111="Quimica",B111="Fisica"),3,IF(OR(B111="Redacao",B111="Linguagens"),2,1.5)))</x:f>
      </x:c>
      <x:c r="G111" s="139" t="str">
        <x:f>IF(A111="","",A111+IF(F111&gt;=2,2,3))</x:f>
      </x:c>
      <x:c r="H111" s="103"/>
      <x:c r="I111" s="103"/>
      <x:c r="J111" s="103"/>
    </x:row>
    <x:row r="112">
      <x:c r="A112" s="132"/>
      <x:c r="B112" s="103"/>
      <x:c r="C112" s="103" t="str">
        <x:f>IF(B112="","",IF(OR(B112="Biologia",B112="Quimica",B112="Fisica"),"Ciencias da Natureza",IF(B112="Humanas","Ciencias Humanas",B112)))</x:f>
      </x:c>
      <x:c r="D112" s="103"/>
      <x:c r="E112" s="103"/>
      <x:c r="F112" s="103" t="str">
        <x:f>IF(B112="","",IF(OR(B112="Biologia",B112="Quimica",B112="Fisica"),3,IF(OR(B112="Redacao",B112="Linguagens"),2,1.5)))</x:f>
      </x:c>
      <x:c r="G112" s="139" t="str">
        <x:f>IF(A112="","",A112+IF(F112&gt;=2,2,3))</x:f>
      </x:c>
      <x:c r="H112" s="103"/>
      <x:c r="I112" s="103"/>
      <x:c r="J112" s="103"/>
    </x:row>
    <x:row r="113">
      <x:c r="A113" s="132"/>
      <x:c r="B113" s="103"/>
      <x:c r="C113" s="103" t="str">
        <x:f>IF(B113="","",IF(OR(B113="Biologia",B113="Quimica",B113="Fisica"),"Ciencias da Natureza",IF(B113="Humanas","Ciencias Humanas",B113)))</x:f>
      </x:c>
      <x:c r="D113" s="103"/>
      <x:c r="E113" s="103"/>
      <x:c r="F113" s="103" t="str">
        <x:f>IF(B113="","",IF(OR(B113="Biologia",B113="Quimica",B113="Fisica"),3,IF(OR(B113="Redacao",B113="Linguagens"),2,1.5)))</x:f>
      </x:c>
      <x:c r="G113" s="139" t="str">
        <x:f>IF(A113="","",A113+IF(F113&gt;=2,2,3))</x:f>
      </x:c>
      <x:c r="H113" s="103"/>
      <x:c r="I113" s="103"/>
      <x:c r="J113" s="103"/>
    </x:row>
    <x:row r="114">
      <x:c r="A114" s="132"/>
      <x:c r="B114" s="103"/>
      <x:c r="C114" s="103" t="str">
        <x:f>IF(B114="","",IF(OR(B114="Biologia",B114="Quimica",B114="Fisica"),"Ciencias da Natureza",IF(B114="Humanas","Ciencias Humanas",B114)))</x:f>
      </x:c>
      <x:c r="D114" s="103"/>
      <x:c r="E114" s="103"/>
      <x:c r="F114" s="103" t="str">
        <x:f>IF(B114="","",IF(OR(B114="Biologia",B114="Quimica",B114="Fisica"),3,IF(OR(B114="Redacao",B114="Linguagens"),2,1.5)))</x:f>
      </x:c>
      <x:c r="G114" s="139" t="str">
        <x:f>IF(A114="","",A114+IF(F114&gt;=2,2,3))</x:f>
      </x:c>
      <x:c r="H114" s="103"/>
      <x:c r="I114" s="103"/>
      <x:c r="J114" s="103"/>
    </x:row>
    <x:row r="115">
      <x:c r="A115" s="132"/>
      <x:c r="B115" s="103"/>
      <x:c r="C115" s="103" t="str">
        <x:f>IF(B115="","",IF(OR(B115="Biologia",B115="Quimica",B115="Fisica"),"Ciencias da Natureza",IF(B115="Humanas","Ciencias Humanas",B115)))</x:f>
      </x:c>
      <x:c r="D115" s="103"/>
      <x:c r="E115" s="103"/>
      <x:c r="F115" s="103" t="str">
        <x:f>IF(B115="","",IF(OR(B115="Biologia",B115="Quimica",B115="Fisica"),3,IF(OR(B115="Redacao",B115="Linguagens"),2,1.5)))</x:f>
      </x:c>
      <x:c r="G115" s="139" t="str">
        <x:f>IF(A115="","",A115+IF(F115&gt;=2,2,3))</x:f>
      </x:c>
      <x:c r="H115" s="103"/>
      <x:c r="I115" s="103"/>
      <x:c r="J115" s="103"/>
    </x:row>
    <x:row r="116">
      <x:c r="A116" s="132"/>
      <x:c r="B116" s="103"/>
      <x:c r="C116" s="103" t="str">
        <x:f>IF(B116="","",IF(OR(B116="Biologia",B116="Quimica",B116="Fisica"),"Ciencias da Natureza",IF(B116="Humanas","Ciencias Humanas",B116)))</x:f>
      </x:c>
      <x:c r="D116" s="103"/>
      <x:c r="E116" s="103"/>
      <x:c r="F116" s="103" t="str">
        <x:f>IF(B116="","",IF(OR(B116="Biologia",B116="Quimica",B116="Fisica"),3,IF(OR(B116="Redacao",B116="Linguagens"),2,1.5)))</x:f>
      </x:c>
      <x:c r="G116" s="139" t="str">
        <x:f>IF(A116="","",A116+IF(F116&gt;=2,2,3))</x:f>
      </x:c>
      <x:c r="H116" s="103"/>
      <x:c r="I116" s="103"/>
      <x:c r="J116" s="103"/>
    </x:row>
    <x:row r="117">
      <x:c r="A117" s="132"/>
      <x:c r="B117" s="103"/>
      <x:c r="C117" s="103" t="str">
        <x:f>IF(B117="","",IF(OR(B117="Biologia",B117="Quimica",B117="Fisica"),"Ciencias da Natureza",IF(B117="Humanas","Ciencias Humanas",B117)))</x:f>
      </x:c>
      <x:c r="D117" s="103"/>
      <x:c r="E117" s="103"/>
      <x:c r="F117" s="103" t="str">
        <x:f>IF(B117="","",IF(OR(B117="Biologia",B117="Quimica",B117="Fisica"),3,IF(OR(B117="Redacao",B117="Linguagens"),2,1.5)))</x:f>
      </x:c>
      <x:c r="G117" s="139" t="str">
        <x:f>IF(A117="","",A117+IF(F117&gt;=2,2,3))</x:f>
      </x:c>
      <x:c r="H117" s="103"/>
      <x:c r="I117" s="103"/>
      <x:c r="J117" s="103"/>
    </x:row>
    <x:row r="118">
      <x:c r="A118" s="132"/>
      <x:c r="B118" s="103"/>
      <x:c r="C118" s="103" t="str">
        <x:f>IF(B118="","",IF(OR(B118="Biologia",B118="Quimica",B118="Fisica"),"Ciencias da Natureza",IF(B118="Humanas","Ciencias Humanas",B118)))</x:f>
      </x:c>
      <x:c r="D118" s="103"/>
      <x:c r="E118" s="103"/>
      <x:c r="F118" s="103" t="str">
        <x:f>IF(B118="","",IF(OR(B118="Biologia",B118="Quimica",B118="Fisica"),3,IF(OR(B118="Redacao",B118="Linguagens"),2,1.5)))</x:f>
      </x:c>
      <x:c r="G118" s="139" t="str">
        <x:f>IF(A118="","",A118+IF(F118&gt;=2,2,3))</x:f>
      </x:c>
      <x:c r="H118" s="103"/>
      <x:c r="I118" s="103"/>
      <x:c r="J118" s="103"/>
    </x:row>
    <x:row r="119">
      <x:c r="A119" s="132"/>
      <x:c r="B119" s="103"/>
      <x:c r="C119" s="103" t="str">
        <x:f>IF(B119="","",IF(OR(B119="Biologia",B119="Quimica",B119="Fisica"),"Ciencias da Natureza",IF(B119="Humanas","Ciencias Humanas",B119)))</x:f>
      </x:c>
      <x:c r="D119" s="103"/>
      <x:c r="E119" s="103"/>
      <x:c r="F119" s="103" t="str">
        <x:f>IF(B119="","",IF(OR(B119="Biologia",B119="Quimica",B119="Fisica"),3,IF(OR(B119="Redacao",B119="Linguagens"),2,1.5)))</x:f>
      </x:c>
      <x:c r="G119" s="139" t="str">
        <x:f>IF(A119="","",A119+IF(F119&gt;=2,2,3))</x:f>
      </x:c>
      <x:c r="H119" s="103"/>
      <x:c r="I119" s="103"/>
      <x:c r="J119" s="103"/>
    </x:row>
    <x:row r="120">
      <x:c r="A120" s="132"/>
      <x:c r="B120" s="103"/>
      <x:c r="C120" s="103" t="str">
        <x:f>IF(B120="","",IF(OR(B120="Biologia",B120="Quimica",B120="Fisica"),"Ciencias da Natureza",IF(B120="Humanas","Ciencias Humanas",B120)))</x:f>
      </x:c>
      <x:c r="D120" s="103"/>
      <x:c r="E120" s="103"/>
      <x:c r="F120" s="103" t="str">
        <x:f>IF(B120="","",IF(OR(B120="Biologia",B120="Quimica",B120="Fisica"),3,IF(OR(B120="Redacao",B120="Linguagens"),2,1.5)))</x:f>
      </x:c>
      <x:c r="G120" s="139" t="str">
        <x:f>IF(A120="","",A120+IF(F120&gt;=2,2,3))</x:f>
      </x:c>
      <x:c r="H120" s="103"/>
      <x:c r="I120" s="103"/>
      <x:c r="J120" s="103"/>
    </x:row>
    <x:row r="121">
      <x:c r="A121" s="132"/>
      <x:c r="B121" s="103"/>
      <x:c r="C121" s="103" t="str">
        <x:f>IF(B121="","",IF(OR(B121="Biologia",B121="Quimica",B121="Fisica"),"Ciencias da Natureza",IF(B121="Humanas","Ciencias Humanas",B121)))</x:f>
      </x:c>
      <x:c r="D121" s="103"/>
      <x:c r="E121" s="103"/>
      <x:c r="F121" s="103" t="str">
        <x:f>IF(B121="","",IF(OR(B121="Biologia",B121="Quimica",B121="Fisica"),3,IF(OR(B121="Redacao",B121="Linguagens"),2,1.5)))</x:f>
      </x:c>
      <x:c r="G121" s="139" t="str">
        <x:f>IF(A121="","",A121+IF(F121&gt;=2,2,3))</x:f>
      </x:c>
      <x:c r="H121" s="103"/>
      <x:c r="I121" s="103"/>
      <x:c r="J121" s="103"/>
    </x:row>
    <x:row r="122">
      <x:c r="A122" s="132"/>
      <x:c r="B122" s="103"/>
      <x:c r="C122" s="103" t="str">
        <x:f>IF(B122="","",IF(OR(B122="Biologia",B122="Quimica",B122="Fisica"),"Ciencias da Natureza",IF(B122="Humanas","Ciencias Humanas",B122)))</x:f>
      </x:c>
      <x:c r="D122" s="103"/>
      <x:c r="E122" s="103"/>
      <x:c r="F122" s="103" t="str">
        <x:f>IF(B122="","",IF(OR(B122="Biologia",B122="Quimica",B122="Fisica"),3,IF(OR(B122="Redacao",B122="Linguagens"),2,1.5)))</x:f>
      </x:c>
      <x:c r="G122" s="139" t="str">
        <x:f>IF(A122="","",A122+IF(F122&gt;=2,2,3))</x:f>
      </x:c>
      <x:c r="H122" s="103"/>
      <x:c r="I122" s="103"/>
      <x:c r="J122" s="103"/>
    </x:row>
    <x:row r="123">
      <x:c r="A123" s="132"/>
      <x:c r="B123" s="103"/>
      <x:c r="C123" s="103" t="str">
        <x:f>IF(B123="","",IF(OR(B123="Biologia",B123="Quimica",B123="Fisica"),"Ciencias da Natureza",IF(B123="Humanas","Ciencias Humanas",B123)))</x:f>
      </x:c>
      <x:c r="D123" s="103"/>
      <x:c r="E123" s="103"/>
      <x:c r="F123" s="103" t="str">
        <x:f>IF(B123="","",IF(OR(B123="Biologia",B123="Quimica",B123="Fisica"),3,IF(OR(B123="Redacao",B123="Linguagens"),2,1.5)))</x:f>
      </x:c>
      <x:c r="G123" s="139" t="str">
        <x:f>IF(A123="","",A123+IF(F123&gt;=2,2,3))</x:f>
      </x:c>
      <x:c r="H123" s="103"/>
      <x:c r="I123" s="103"/>
      <x:c r="J123" s="103"/>
    </x:row>
    <x:row r="124">
      <x:c r="A124" s="132"/>
      <x:c r="B124" s="103"/>
      <x:c r="C124" s="103" t="str">
        <x:f>IF(B124="","",IF(OR(B124="Biologia",B124="Quimica",B124="Fisica"),"Ciencias da Natureza",IF(B124="Humanas","Ciencias Humanas",B124)))</x:f>
      </x:c>
      <x:c r="D124" s="103"/>
      <x:c r="E124" s="103"/>
      <x:c r="F124" s="103" t="str">
        <x:f>IF(B124="","",IF(OR(B124="Biologia",B124="Quimica",B124="Fisica"),3,IF(OR(B124="Redacao",B124="Linguagens"),2,1.5)))</x:f>
      </x:c>
      <x:c r="G124" s="139" t="str">
        <x:f>IF(A124="","",A124+IF(F124&gt;=2,2,3))</x:f>
      </x:c>
      <x:c r="H124" s="103"/>
      <x:c r="I124" s="103"/>
      <x:c r="J124" s="103"/>
    </x:row>
    <x:row r="125">
      <x:c r="A125" s="132"/>
      <x:c r="B125" s="103"/>
      <x:c r="C125" s="103" t="str">
        <x:f>IF(B125="","",IF(OR(B125="Biologia",B125="Quimica",B125="Fisica"),"Ciencias da Natureza",IF(B125="Humanas","Ciencias Humanas",B125)))</x:f>
      </x:c>
      <x:c r="D125" s="103"/>
      <x:c r="E125" s="103"/>
      <x:c r="F125" s="103" t="str">
        <x:f>IF(B125="","",IF(OR(B125="Biologia",B125="Quimica",B125="Fisica"),3,IF(OR(B125="Redacao",B125="Linguagens"),2,1.5)))</x:f>
      </x:c>
      <x:c r="G125" s="139" t="str">
        <x:f>IF(A125="","",A125+IF(F125&gt;=2,2,3))</x:f>
      </x:c>
      <x:c r="H125" s="103"/>
      <x:c r="I125" s="103"/>
      <x:c r="J125" s="103"/>
    </x:row>
    <x:row r="126">
      <x:c r="A126" s="132"/>
      <x:c r="B126" s="103"/>
      <x:c r="C126" s="103" t="str">
        <x:f>IF(B126="","",IF(OR(B126="Biologia",B126="Quimica",B126="Fisica"),"Ciencias da Natureza",IF(B126="Humanas","Ciencias Humanas",B126)))</x:f>
      </x:c>
      <x:c r="D126" s="103"/>
      <x:c r="E126" s="103"/>
      <x:c r="F126" s="103" t="str">
        <x:f>IF(B126="","",IF(OR(B126="Biologia",B126="Quimica",B126="Fisica"),3,IF(OR(B126="Redacao",B126="Linguagens"),2,1.5)))</x:f>
      </x:c>
      <x:c r="G126" s="139" t="str">
        <x:f>IF(A126="","",A126+IF(F126&gt;=2,2,3))</x:f>
      </x:c>
      <x:c r="H126" s="103"/>
      <x:c r="I126" s="103"/>
      <x:c r="J126" s="103"/>
    </x:row>
    <x:row r="127">
      <x:c r="A127" s="132"/>
      <x:c r="B127" s="103"/>
      <x:c r="C127" s="103" t="str">
        <x:f>IF(B127="","",IF(OR(B127="Biologia",B127="Quimica",B127="Fisica"),"Ciencias da Natureza",IF(B127="Humanas","Ciencias Humanas",B127)))</x:f>
      </x:c>
      <x:c r="D127" s="103"/>
      <x:c r="E127" s="103"/>
      <x:c r="F127" s="103" t="str">
        <x:f>IF(B127="","",IF(OR(B127="Biologia",B127="Quimica",B127="Fisica"),3,IF(OR(B127="Redacao",B127="Linguagens"),2,1.5)))</x:f>
      </x:c>
      <x:c r="G127" s="139" t="str">
        <x:f>IF(A127="","",A127+IF(F127&gt;=2,2,3))</x:f>
      </x:c>
      <x:c r="H127" s="103"/>
      <x:c r="I127" s="103"/>
      <x:c r="J127" s="103"/>
    </x:row>
    <x:row r="128">
      <x:c r="A128" s="132"/>
      <x:c r="B128" s="103"/>
      <x:c r="C128" s="103" t="str">
        <x:f>IF(B128="","",IF(OR(B128="Biologia",B128="Quimica",B128="Fisica"),"Ciencias da Natureza",IF(B128="Humanas","Ciencias Humanas",B128)))</x:f>
      </x:c>
      <x:c r="D128" s="103"/>
      <x:c r="E128" s="103"/>
      <x:c r="F128" s="103" t="str">
        <x:f>IF(B128="","",IF(OR(B128="Biologia",B128="Quimica",B128="Fisica"),3,IF(OR(B128="Redacao",B128="Linguagens"),2,1.5)))</x:f>
      </x:c>
      <x:c r="G128" s="139" t="str">
        <x:f>IF(A128="","",A128+IF(F128&gt;=2,2,3))</x:f>
      </x:c>
      <x:c r="H128" s="103"/>
      <x:c r="I128" s="103"/>
      <x:c r="J128" s="103"/>
    </x:row>
    <x:row r="129">
      <x:c r="A129" s="132"/>
      <x:c r="B129" s="103"/>
      <x:c r="C129" s="103" t="str">
        <x:f>IF(B129="","",IF(OR(B129="Biologia",B129="Quimica",B129="Fisica"),"Ciencias da Natureza",IF(B129="Humanas","Ciencias Humanas",B129)))</x:f>
      </x:c>
      <x:c r="D129" s="103"/>
      <x:c r="E129" s="103"/>
      <x:c r="F129" s="103" t="str">
        <x:f>IF(B129="","",IF(OR(B129="Biologia",B129="Quimica",B129="Fisica"),3,IF(OR(B129="Redacao",B129="Linguagens"),2,1.5)))</x:f>
      </x:c>
      <x:c r="G129" s="139" t="str">
        <x:f>IF(A129="","",A129+IF(F129&gt;=2,2,3))</x:f>
      </x:c>
      <x:c r="H129" s="103"/>
      <x:c r="I129" s="103"/>
      <x:c r="J129" s="103"/>
    </x:row>
    <x:row r="130">
      <x:c r="A130" s="132"/>
      <x:c r="B130" s="103"/>
      <x:c r="C130" s="103" t="str">
        <x:f>IF(B130="","",IF(OR(B130="Biologia",B130="Quimica",B130="Fisica"),"Ciencias da Natureza",IF(B130="Humanas","Ciencias Humanas",B130)))</x:f>
      </x:c>
      <x:c r="D130" s="103"/>
      <x:c r="E130" s="103"/>
      <x:c r="F130" s="103" t="str">
        <x:f>IF(B130="","",IF(OR(B130="Biologia",B130="Quimica",B130="Fisica"),3,IF(OR(B130="Redacao",B130="Linguagens"),2,1.5)))</x:f>
      </x:c>
      <x:c r="G130" s="139" t="str">
        <x:f>IF(A130="","",A130+IF(F130&gt;=2,2,3))</x:f>
      </x:c>
      <x:c r="H130" s="103"/>
      <x:c r="I130" s="103"/>
      <x:c r="J130" s="103"/>
    </x:row>
    <x:row r="131">
      <x:c r="A131" s="132"/>
      <x:c r="B131" s="103"/>
      <x:c r="C131" s="103" t="str">
        <x:f>IF(B131="","",IF(OR(B131="Biologia",B131="Quimica",B131="Fisica"),"Ciencias da Natureza",IF(B131="Humanas","Ciencias Humanas",B131)))</x:f>
      </x:c>
      <x:c r="D131" s="103"/>
      <x:c r="E131" s="103"/>
      <x:c r="F131" s="103" t="str">
        <x:f>IF(B131="","",IF(OR(B131="Biologia",B131="Quimica",B131="Fisica"),3,IF(OR(B131="Redacao",B131="Linguagens"),2,1.5)))</x:f>
      </x:c>
      <x:c r="G131" s="139" t="str">
        <x:f>IF(A131="","",A131+IF(F131&gt;=2,2,3))</x:f>
      </x:c>
      <x:c r="H131" s="103"/>
      <x:c r="I131" s="103"/>
      <x:c r="J131" s="103"/>
    </x:row>
    <x:row r="132">
      <x:c r="A132" s="132"/>
      <x:c r="B132" s="103"/>
      <x:c r="C132" s="103" t="str">
        <x:f>IF(B132="","",IF(OR(B132="Biologia",B132="Quimica",B132="Fisica"),"Ciencias da Natureza",IF(B132="Humanas","Ciencias Humanas",B132)))</x:f>
      </x:c>
      <x:c r="D132" s="103"/>
      <x:c r="E132" s="103"/>
      <x:c r="F132" s="103" t="str">
        <x:f>IF(B132="","",IF(OR(B132="Biologia",B132="Quimica",B132="Fisica"),3,IF(OR(B132="Redacao",B132="Linguagens"),2,1.5)))</x:f>
      </x:c>
      <x:c r="G132" s="139" t="str">
        <x:f>IF(A132="","",A132+IF(F132&gt;=2,2,3))</x:f>
      </x:c>
      <x:c r="H132" s="103"/>
      <x:c r="I132" s="103"/>
      <x:c r="J132" s="103"/>
    </x:row>
    <x:row r="133">
      <x:c r="A133" s="132"/>
      <x:c r="B133" s="103"/>
      <x:c r="C133" s="103" t="str">
        <x:f>IF(B133="","",IF(OR(B133="Biologia",B133="Quimica",B133="Fisica"),"Ciencias da Natureza",IF(B133="Humanas","Ciencias Humanas",B133)))</x:f>
      </x:c>
      <x:c r="D133" s="103"/>
      <x:c r="E133" s="103"/>
      <x:c r="F133" s="103" t="str">
        <x:f>IF(B133="","",IF(OR(B133="Biologia",B133="Quimica",B133="Fisica"),3,IF(OR(B133="Redacao",B133="Linguagens"),2,1.5)))</x:f>
      </x:c>
      <x:c r="G133" s="139" t="str">
        <x:f>IF(A133="","",A133+IF(F133&gt;=2,2,3))</x:f>
      </x:c>
      <x:c r="H133" s="103"/>
      <x:c r="I133" s="103"/>
      <x:c r="J133" s="103"/>
    </x:row>
    <x:row r="134">
      <x:c r="A134" s="132"/>
      <x:c r="B134" s="103"/>
      <x:c r="C134" s="103" t="str">
        <x:f>IF(B134="","",IF(OR(B134="Biologia",B134="Quimica",B134="Fisica"),"Ciencias da Natureza",IF(B134="Humanas","Ciencias Humanas",B134)))</x:f>
      </x:c>
      <x:c r="D134" s="103"/>
      <x:c r="E134" s="103"/>
      <x:c r="F134" s="103" t="str">
        <x:f>IF(B134="","",IF(OR(B134="Biologia",B134="Quimica",B134="Fisica"),3,IF(OR(B134="Redacao",B134="Linguagens"),2,1.5)))</x:f>
      </x:c>
      <x:c r="G134" s="139" t="str">
        <x:f>IF(A134="","",A134+IF(F134&gt;=2,2,3))</x:f>
      </x:c>
      <x:c r="H134" s="103"/>
      <x:c r="I134" s="103"/>
      <x:c r="J134" s="103"/>
    </x:row>
    <x:row r="135">
      <x:c r="A135" s="132"/>
      <x:c r="B135" s="103"/>
      <x:c r="C135" s="103" t="str">
        <x:f>IF(B135="","",IF(OR(B135="Biologia",B135="Quimica",B135="Fisica"),"Ciencias da Natureza",IF(B135="Humanas","Ciencias Humanas",B135)))</x:f>
      </x:c>
      <x:c r="D135" s="103"/>
      <x:c r="E135" s="103"/>
      <x:c r="F135" s="103" t="str">
        <x:f>IF(B135="","",IF(OR(B135="Biologia",B135="Quimica",B135="Fisica"),3,IF(OR(B135="Redacao",B135="Linguagens"),2,1.5)))</x:f>
      </x:c>
      <x:c r="G135" s="139" t="str">
        <x:f>IF(A135="","",A135+IF(F135&gt;=2,2,3))</x:f>
      </x:c>
      <x:c r="H135" s="103"/>
      <x:c r="I135" s="103"/>
      <x:c r="J135" s="103"/>
    </x:row>
    <x:row r="136">
      <x:c r="A136" s="132"/>
      <x:c r="B136" s="103"/>
      <x:c r="C136" s="103" t="str">
        <x:f>IF(B136="","",IF(OR(B136="Biologia",B136="Quimica",B136="Fisica"),"Ciencias da Natureza",IF(B136="Humanas","Ciencias Humanas",B136)))</x:f>
      </x:c>
      <x:c r="D136" s="103"/>
      <x:c r="E136" s="103"/>
      <x:c r="F136" s="103" t="str">
        <x:f>IF(B136="","",IF(OR(B136="Biologia",B136="Quimica",B136="Fisica"),3,IF(OR(B136="Redacao",B136="Linguagens"),2,1.5)))</x:f>
      </x:c>
      <x:c r="G136" s="139" t="str">
        <x:f>IF(A136="","",A136+IF(F136&gt;=2,2,3))</x:f>
      </x:c>
      <x:c r="H136" s="103"/>
      <x:c r="I136" s="103"/>
      <x:c r="J136" s="103"/>
    </x:row>
    <x:row r="137">
      <x:c r="A137" s="132"/>
      <x:c r="B137" s="103"/>
      <x:c r="C137" s="103" t="str">
        <x:f>IF(B137="","",IF(OR(B137="Biologia",B137="Quimica",B137="Fisica"),"Ciencias da Natureza",IF(B137="Humanas","Ciencias Humanas",B137)))</x:f>
      </x:c>
      <x:c r="D137" s="103"/>
      <x:c r="E137" s="103"/>
      <x:c r="F137" s="103" t="str">
        <x:f>IF(B137="","",IF(OR(B137="Biologia",B137="Quimica",B137="Fisica"),3,IF(OR(B137="Redacao",B137="Linguagens"),2,1.5)))</x:f>
      </x:c>
      <x:c r="G137" s="139" t="str">
        <x:f>IF(A137="","",A137+IF(F137&gt;=2,2,3))</x:f>
      </x:c>
      <x:c r="H137" s="103"/>
      <x:c r="I137" s="103"/>
      <x:c r="J137" s="103"/>
    </x:row>
    <x:row r="138">
      <x:c r="A138" s="132"/>
      <x:c r="B138" s="103"/>
      <x:c r="C138" s="103" t="str">
        <x:f>IF(B138="","",IF(OR(B138="Biologia",B138="Quimica",B138="Fisica"),"Ciencias da Natureza",IF(B138="Humanas","Ciencias Humanas",B138)))</x:f>
      </x:c>
      <x:c r="D138" s="103"/>
      <x:c r="E138" s="103"/>
      <x:c r="F138" s="103" t="str">
        <x:f>IF(B138="","",IF(OR(B138="Biologia",B138="Quimica",B138="Fisica"),3,IF(OR(B138="Redacao",B138="Linguagens"),2,1.5)))</x:f>
      </x:c>
      <x:c r="G138" s="139" t="str">
        <x:f>IF(A138="","",A138+IF(F138&gt;=2,2,3))</x:f>
      </x:c>
      <x:c r="H138" s="103"/>
      <x:c r="I138" s="103"/>
      <x:c r="J138" s="103"/>
    </x:row>
    <x:row r="139">
      <x:c r="A139" s="132"/>
      <x:c r="B139" s="103"/>
      <x:c r="C139" s="103" t="str">
        <x:f>IF(B139="","",IF(OR(B139="Biologia",B139="Quimica",B139="Fisica"),"Ciencias da Natureza",IF(B139="Humanas","Ciencias Humanas",B139)))</x:f>
      </x:c>
      <x:c r="D139" s="103"/>
      <x:c r="E139" s="103"/>
      <x:c r="F139" s="103" t="str">
        <x:f>IF(B139="","",IF(OR(B139="Biologia",B139="Quimica",B139="Fisica"),3,IF(OR(B139="Redacao",B139="Linguagens"),2,1.5)))</x:f>
      </x:c>
      <x:c r="G139" s="139" t="str">
        <x:f>IF(A139="","",A139+IF(F139&gt;=2,2,3))</x:f>
      </x:c>
      <x:c r="H139" s="103"/>
      <x:c r="I139" s="103"/>
      <x:c r="J139" s="103"/>
    </x:row>
    <x:row r="140">
      <x:c r="A140" s="132"/>
      <x:c r="B140" s="103"/>
      <x:c r="C140" s="103" t="str">
        <x:f>IF(B140="","",IF(OR(B140="Biologia",B140="Quimica",B140="Fisica"),"Ciencias da Natureza",IF(B140="Humanas","Ciencias Humanas",B140)))</x:f>
      </x:c>
      <x:c r="D140" s="103"/>
      <x:c r="E140" s="103"/>
      <x:c r="F140" s="103" t="str">
        <x:f>IF(B140="","",IF(OR(B140="Biologia",B140="Quimica",B140="Fisica"),3,IF(OR(B140="Redacao",B140="Linguagens"),2,1.5)))</x:f>
      </x:c>
      <x:c r="G140" s="139" t="str">
        <x:f>IF(A140="","",A140+IF(F140&gt;=2,2,3))</x:f>
      </x:c>
      <x:c r="H140" s="103"/>
      <x:c r="I140" s="103"/>
      <x:c r="J140" s="103"/>
    </x:row>
    <x:row r="141">
      <x:c r="A141" s="132"/>
      <x:c r="B141" s="103"/>
      <x:c r="C141" s="103" t="str">
        <x:f>IF(B141="","",IF(OR(B141="Biologia",B141="Quimica",B141="Fisica"),"Ciencias da Natureza",IF(B141="Humanas","Ciencias Humanas",B141)))</x:f>
      </x:c>
      <x:c r="D141" s="103"/>
      <x:c r="E141" s="103"/>
      <x:c r="F141" s="103" t="str">
        <x:f>IF(B141="","",IF(OR(B141="Biologia",B141="Quimica",B141="Fisica"),3,IF(OR(B141="Redacao",B141="Linguagens"),2,1.5)))</x:f>
      </x:c>
      <x:c r="G141" s="139" t="str">
        <x:f>IF(A141="","",A141+IF(F141&gt;=2,2,3))</x:f>
      </x:c>
      <x:c r="H141" s="103"/>
      <x:c r="I141" s="103"/>
      <x:c r="J141" s="103"/>
    </x:row>
    <x:row r="142">
      <x:c r="A142" s="132"/>
      <x:c r="B142" s="103"/>
      <x:c r="C142" s="103" t="str">
        <x:f>IF(B142="","",IF(OR(B142="Biologia",B142="Quimica",B142="Fisica"),"Ciencias da Natureza",IF(B142="Humanas","Ciencias Humanas",B142)))</x:f>
      </x:c>
      <x:c r="D142" s="103"/>
      <x:c r="E142" s="103"/>
      <x:c r="F142" s="103" t="str">
        <x:f>IF(B142="","",IF(OR(B142="Biologia",B142="Quimica",B142="Fisica"),3,IF(OR(B142="Redacao",B142="Linguagens"),2,1.5)))</x:f>
      </x:c>
      <x:c r="G142" s="139" t="str">
        <x:f>IF(A142="","",A142+IF(F142&gt;=2,2,3))</x:f>
      </x:c>
      <x:c r="H142" s="103"/>
      <x:c r="I142" s="103"/>
      <x:c r="J142" s="103"/>
    </x:row>
    <x:row r="143">
      <x:c r="A143" s="132"/>
      <x:c r="B143" s="103"/>
      <x:c r="C143" s="103" t="str">
        <x:f>IF(B143="","",IF(OR(B143="Biologia",B143="Quimica",B143="Fisica"),"Ciencias da Natureza",IF(B143="Humanas","Ciencias Humanas",B143)))</x:f>
      </x:c>
      <x:c r="D143" s="103"/>
      <x:c r="E143" s="103"/>
      <x:c r="F143" s="103" t="str">
        <x:f>IF(B143="","",IF(OR(B143="Biologia",B143="Quimica",B143="Fisica"),3,IF(OR(B143="Redacao",B143="Linguagens"),2,1.5)))</x:f>
      </x:c>
      <x:c r="G143" s="139" t="str">
        <x:f>IF(A143="","",A143+IF(F143&gt;=2,2,3))</x:f>
      </x:c>
      <x:c r="H143" s="103"/>
      <x:c r="I143" s="103"/>
      <x:c r="J143" s="103"/>
    </x:row>
    <x:row r="144">
      <x:c r="A144" s="132"/>
      <x:c r="B144" s="103"/>
      <x:c r="C144" s="103" t="str">
        <x:f>IF(B144="","",IF(OR(B144="Biologia",B144="Quimica",B144="Fisica"),"Ciencias da Natureza",IF(B144="Humanas","Ciencias Humanas",B144)))</x:f>
      </x:c>
      <x:c r="D144" s="103"/>
      <x:c r="E144" s="103"/>
      <x:c r="F144" s="103" t="str">
        <x:f>IF(B144="","",IF(OR(B144="Biologia",B144="Quimica",B144="Fisica"),3,IF(OR(B144="Redacao",B144="Linguagens"),2,1.5)))</x:f>
      </x:c>
      <x:c r="G144" s="139" t="str">
        <x:f>IF(A144="","",A144+IF(F144&gt;=2,2,3))</x:f>
      </x:c>
      <x:c r="H144" s="103"/>
      <x:c r="I144" s="103"/>
      <x:c r="J144" s="103"/>
    </x:row>
    <x:row r="145">
      <x:c r="A145" s="132"/>
      <x:c r="B145" s="103"/>
      <x:c r="C145" s="103" t="str">
        <x:f>IF(B145="","",IF(OR(B145="Biologia",B145="Quimica",B145="Fisica"),"Ciencias da Natureza",IF(B145="Humanas","Ciencias Humanas",B145)))</x:f>
      </x:c>
      <x:c r="D145" s="103"/>
      <x:c r="E145" s="103"/>
      <x:c r="F145" s="103" t="str">
        <x:f>IF(B145="","",IF(OR(B145="Biologia",B145="Quimica",B145="Fisica"),3,IF(OR(B145="Redacao",B145="Linguagens"),2,1.5)))</x:f>
      </x:c>
      <x:c r="G145" s="139" t="str">
        <x:f>IF(A145="","",A145+IF(F145&gt;=2,2,3))</x:f>
      </x:c>
      <x:c r="H145" s="103"/>
      <x:c r="I145" s="103"/>
      <x:c r="J145" s="103"/>
    </x:row>
    <x:row r="146">
      <x:c r="A146" s="132"/>
      <x:c r="B146" s="103"/>
      <x:c r="C146" s="103" t="str">
        <x:f>IF(B146="","",IF(OR(B146="Biologia",B146="Quimica",B146="Fisica"),"Ciencias da Natureza",IF(B146="Humanas","Ciencias Humanas",B146)))</x:f>
      </x:c>
      <x:c r="D146" s="103"/>
      <x:c r="E146" s="103"/>
      <x:c r="F146" s="103" t="str">
        <x:f>IF(B146="","",IF(OR(B146="Biologia",B146="Quimica",B146="Fisica"),3,IF(OR(B146="Redacao",B146="Linguagens"),2,1.5)))</x:f>
      </x:c>
      <x:c r="G146" s="139" t="str">
        <x:f>IF(A146="","",A146+IF(F146&gt;=2,2,3))</x:f>
      </x:c>
      <x:c r="H146" s="103"/>
      <x:c r="I146" s="103"/>
      <x:c r="J146" s="103"/>
    </x:row>
    <x:row r="147">
      <x:c r="A147" s="132"/>
      <x:c r="B147" s="103"/>
      <x:c r="C147" s="103" t="str">
        <x:f>IF(B147="","",IF(OR(B147="Biologia",B147="Quimica",B147="Fisica"),"Ciencias da Natureza",IF(B147="Humanas","Ciencias Humanas",B147)))</x:f>
      </x:c>
      <x:c r="D147" s="103"/>
      <x:c r="E147" s="103"/>
      <x:c r="F147" s="103" t="str">
        <x:f>IF(B147="","",IF(OR(B147="Biologia",B147="Quimica",B147="Fisica"),3,IF(OR(B147="Redacao",B147="Linguagens"),2,1.5)))</x:f>
      </x:c>
      <x:c r="G147" s="139" t="str">
        <x:f>IF(A147="","",A147+IF(F147&gt;=2,2,3))</x:f>
      </x:c>
      <x:c r="H147" s="103"/>
      <x:c r="I147" s="103"/>
      <x:c r="J147" s="103"/>
    </x:row>
    <x:row r="148">
      <x:c r="A148" s="132"/>
      <x:c r="B148" s="103"/>
      <x:c r="C148" s="103" t="str">
        <x:f>IF(B148="","",IF(OR(B148="Biologia",B148="Quimica",B148="Fisica"),"Ciencias da Natureza",IF(B148="Humanas","Ciencias Humanas",B148)))</x:f>
      </x:c>
      <x:c r="D148" s="103"/>
      <x:c r="E148" s="103"/>
      <x:c r="F148" s="103" t="str">
        <x:f>IF(B148="","",IF(OR(B148="Biologia",B148="Quimica",B148="Fisica"),3,IF(OR(B148="Redacao",B148="Linguagens"),2,1.5)))</x:f>
      </x:c>
      <x:c r="G148" s="139" t="str">
        <x:f>IF(A148="","",A148+IF(F148&gt;=2,2,3))</x:f>
      </x:c>
      <x:c r="H148" s="103"/>
      <x:c r="I148" s="103"/>
      <x:c r="J148" s="103"/>
    </x:row>
    <x:row r="149">
      <x:c r="A149" s="132"/>
      <x:c r="B149" s="103"/>
      <x:c r="C149" s="103" t="str">
        <x:f>IF(B149="","",IF(OR(B149="Biologia",B149="Quimica",B149="Fisica"),"Ciencias da Natureza",IF(B149="Humanas","Ciencias Humanas",B149)))</x:f>
      </x:c>
      <x:c r="D149" s="103"/>
      <x:c r="E149" s="103"/>
      <x:c r="F149" s="103" t="str">
        <x:f>IF(B149="","",IF(OR(B149="Biologia",B149="Quimica",B149="Fisica"),3,IF(OR(B149="Redacao",B149="Linguagens"),2,1.5)))</x:f>
      </x:c>
      <x:c r="G149" s="139" t="str">
        <x:f>IF(A149="","",A149+IF(F149&gt;=2,2,3))</x:f>
      </x:c>
      <x:c r="H149" s="103"/>
      <x:c r="I149" s="103"/>
      <x:c r="J149" s="103"/>
    </x:row>
    <x:row r="150">
      <x:c r="A150" s="132"/>
      <x:c r="B150" s="103"/>
      <x:c r="C150" s="103" t="str">
        <x:f>IF(B150="","",IF(OR(B150="Biologia",B150="Quimica",B150="Fisica"),"Ciencias da Natureza",IF(B150="Humanas","Ciencias Humanas",B150)))</x:f>
      </x:c>
      <x:c r="D150" s="103"/>
      <x:c r="E150" s="103"/>
      <x:c r="F150" s="103" t="str">
        <x:f>IF(B150="","",IF(OR(B150="Biologia",B150="Quimica",B150="Fisica"),3,IF(OR(B150="Redacao",B150="Linguagens"),2,1.5)))</x:f>
      </x:c>
      <x:c r="G150" s="139" t="str">
        <x:f>IF(A150="","",A150+IF(F150&gt;=2,2,3))</x:f>
      </x:c>
      <x:c r="H150" s="103"/>
      <x:c r="I150" s="103"/>
      <x:c r="J150" s="103"/>
    </x:row>
    <x:row r="151">
      <x:c r="A151" s="132"/>
      <x:c r="B151" s="103"/>
      <x:c r="C151" s="103" t="str">
        <x:f>IF(B151="","",IF(OR(B151="Biologia",B151="Quimica",B151="Fisica"),"Ciencias da Natureza",IF(B151="Humanas","Ciencias Humanas",B151)))</x:f>
      </x:c>
      <x:c r="D151" s="103"/>
      <x:c r="E151" s="103"/>
      <x:c r="F151" s="103" t="str">
        <x:f>IF(B151="","",IF(OR(B151="Biologia",B151="Quimica",B151="Fisica"),3,IF(OR(B151="Redacao",B151="Linguagens"),2,1.5)))</x:f>
      </x:c>
      <x:c r="G151" s="139" t="str">
        <x:f>IF(A151="","",A151+IF(F151&gt;=2,2,3))</x:f>
      </x:c>
      <x:c r="H151" s="103"/>
      <x:c r="I151" s="103"/>
      <x:c r="J151" s="103"/>
    </x:row>
    <x:row r="152">
      <x:c r="A152" s="132"/>
      <x:c r="B152" s="103"/>
      <x:c r="C152" s="103" t="str">
        <x:f>IF(B152="","",IF(OR(B152="Biologia",B152="Quimica",B152="Fisica"),"Ciencias da Natureza",IF(B152="Humanas","Ciencias Humanas",B152)))</x:f>
      </x:c>
      <x:c r="D152" s="103"/>
      <x:c r="E152" s="103"/>
      <x:c r="F152" s="103" t="str">
        <x:f>IF(B152="","",IF(OR(B152="Biologia",B152="Quimica",B152="Fisica"),3,IF(OR(B152="Redacao",B152="Linguagens"),2,1.5)))</x:f>
      </x:c>
      <x:c r="G152" s="139" t="str">
        <x:f>IF(A152="","",A152+IF(F152&gt;=2,2,3))</x:f>
      </x:c>
      <x:c r="H152" s="103"/>
      <x:c r="I152" s="103"/>
      <x:c r="J152" s="103"/>
    </x:row>
    <x:row r="153">
      <x:c r="A153" s="132"/>
      <x:c r="B153" s="103"/>
      <x:c r="C153" s="103" t="str">
        <x:f>IF(B153="","",IF(OR(B153="Biologia",B153="Quimica",B153="Fisica"),"Ciencias da Natureza",IF(B153="Humanas","Ciencias Humanas",B153)))</x:f>
      </x:c>
      <x:c r="D153" s="103"/>
      <x:c r="E153" s="103"/>
      <x:c r="F153" s="103" t="str">
        <x:f>IF(B153="","",IF(OR(B153="Biologia",B153="Quimica",B153="Fisica"),3,IF(OR(B153="Redacao",B153="Linguagens"),2,1.5)))</x:f>
      </x:c>
      <x:c r="G153" s="139" t="str">
        <x:f>IF(A153="","",A153+IF(F153&gt;=2,2,3))</x:f>
      </x:c>
      <x:c r="H153" s="103"/>
      <x:c r="I153" s="103"/>
      <x:c r="J153" s="103"/>
    </x:row>
    <x:row r="154">
      <x:c r="A154" s="132"/>
      <x:c r="B154" s="103"/>
      <x:c r="C154" s="103" t="str">
        <x:f>IF(B154="","",IF(OR(B154="Biologia",B154="Quimica",B154="Fisica"),"Ciencias da Natureza",IF(B154="Humanas","Ciencias Humanas",B154)))</x:f>
      </x:c>
      <x:c r="D154" s="103"/>
      <x:c r="E154" s="103"/>
      <x:c r="F154" s="103" t="str">
        <x:f>IF(B154="","",IF(OR(B154="Biologia",B154="Quimica",B154="Fisica"),3,IF(OR(B154="Redacao",B154="Linguagens"),2,1.5)))</x:f>
      </x:c>
      <x:c r="G154" s="139" t="str">
        <x:f>IF(A154="","",A154+IF(F154&gt;=2,2,3))</x:f>
      </x:c>
      <x:c r="H154" s="103"/>
      <x:c r="I154" s="103"/>
      <x:c r="J154" s="103"/>
    </x:row>
    <x:row r="155">
      <x:c r="A155" s="132"/>
      <x:c r="B155" s="103"/>
      <x:c r="C155" s="103" t="str">
        <x:f>IF(B155="","",IF(OR(B155="Biologia",B155="Quimica",B155="Fisica"),"Ciencias da Natureza",IF(B155="Humanas","Ciencias Humanas",B155)))</x:f>
      </x:c>
      <x:c r="D155" s="103"/>
      <x:c r="E155" s="103"/>
      <x:c r="F155" s="103" t="str">
        <x:f>IF(B155="","",IF(OR(B155="Biologia",B155="Quimica",B155="Fisica"),3,IF(OR(B155="Redacao",B155="Linguagens"),2,1.5)))</x:f>
      </x:c>
      <x:c r="G155" s="139" t="str">
        <x:f>IF(A155="","",A155+IF(F155&gt;=2,2,3))</x:f>
      </x:c>
      <x:c r="H155" s="103"/>
      <x:c r="I155" s="103"/>
      <x:c r="J155" s="103"/>
    </x:row>
    <x:row r="156">
      <x:c r="A156" s="132"/>
      <x:c r="B156" s="103"/>
      <x:c r="C156" s="103" t="str">
        <x:f>IF(B156="","",IF(OR(B156="Biologia",B156="Quimica",B156="Fisica"),"Ciencias da Natureza",IF(B156="Humanas","Ciencias Humanas",B156)))</x:f>
      </x:c>
      <x:c r="D156" s="103"/>
      <x:c r="E156" s="103"/>
      <x:c r="F156" s="103" t="str">
        <x:f>IF(B156="","",IF(OR(B156="Biologia",B156="Quimica",B156="Fisica"),3,IF(OR(B156="Redacao",B156="Linguagens"),2,1.5)))</x:f>
      </x:c>
      <x:c r="G156" s="139" t="str">
        <x:f>IF(A156="","",A156+IF(F156&gt;=2,2,3))</x:f>
      </x:c>
      <x:c r="H156" s="103"/>
      <x:c r="I156" s="103"/>
      <x:c r="J156" s="103"/>
    </x:row>
    <x:row r="157">
      <x:c r="A157" s="132"/>
      <x:c r="B157" s="103"/>
      <x:c r="C157" s="103" t="str">
        <x:f>IF(B157="","",IF(OR(B157="Biologia",B157="Quimica",B157="Fisica"),"Ciencias da Natureza",IF(B157="Humanas","Ciencias Humanas",B157)))</x:f>
      </x:c>
      <x:c r="D157" s="103"/>
      <x:c r="E157" s="103"/>
      <x:c r="F157" s="103" t="str">
        <x:f>IF(B157="","",IF(OR(B157="Biologia",B157="Quimica",B157="Fisica"),3,IF(OR(B157="Redacao",B157="Linguagens"),2,1.5)))</x:f>
      </x:c>
      <x:c r="G157" s="139" t="str">
        <x:f>IF(A157="","",A157+IF(F157&gt;=2,2,3))</x:f>
      </x:c>
      <x:c r="H157" s="103"/>
      <x:c r="I157" s="103"/>
      <x:c r="J157" s="103"/>
    </x:row>
    <x:row r="158">
      <x:c r="A158" s="132"/>
      <x:c r="B158" s="103"/>
      <x:c r="C158" s="103" t="str">
        <x:f>IF(B158="","",IF(OR(B158="Biologia",B158="Quimica",B158="Fisica"),"Ciencias da Natureza",IF(B158="Humanas","Ciencias Humanas",B158)))</x:f>
      </x:c>
      <x:c r="D158" s="103"/>
      <x:c r="E158" s="103"/>
      <x:c r="F158" s="103" t="str">
        <x:f>IF(B158="","",IF(OR(B158="Biologia",B158="Quimica",B158="Fisica"),3,IF(OR(B158="Redacao",B158="Linguagens"),2,1.5)))</x:f>
      </x:c>
      <x:c r="G158" s="139" t="str">
        <x:f>IF(A158="","",A158+IF(F158&gt;=2,2,3))</x:f>
      </x:c>
      <x:c r="H158" s="103"/>
      <x:c r="I158" s="103"/>
      <x:c r="J158" s="103"/>
    </x:row>
    <x:row r="159">
      <x:c r="A159" s="132"/>
      <x:c r="B159" s="103"/>
      <x:c r="C159" s="103" t="str">
        <x:f>IF(B159="","",IF(OR(B159="Biologia",B159="Quimica",B159="Fisica"),"Ciencias da Natureza",IF(B159="Humanas","Ciencias Humanas",B159)))</x:f>
      </x:c>
      <x:c r="D159" s="103"/>
      <x:c r="E159" s="103"/>
      <x:c r="F159" s="103" t="str">
        <x:f>IF(B159="","",IF(OR(B159="Biologia",B159="Quimica",B159="Fisica"),3,IF(OR(B159="Redacao",B159="Linguagens"),2,1.5)))</x:f>
      </x:c>
      <x:c r="G159" s="139" t="str">
        <x:f>IF(A159="","",A159+IF(F159&gt;=2,2,3))</x:f>
      </x:c>
      <x:c r="H159" s="103"/>
      <x:c r="I159" s="103"/>
      <x:c r="J159" s="103"/>
    </x:row>
    <x:row r="160">
      <x:c r="A160" s="132"/>
      <x:c r="B160" s="103"/>
      <x:c r="C160" s="103" t="str">
        <x:f>IF(B160="","",IF(OR(B160="Biologia",B160="Quimica",B160="Fisica"),"Ciencias da Natureza",IF(B160="Humanas","Ciencias Humanas",B160)))</x:f>
      </x:c>
      <x:c r="D160" s="103"/>
      <x:c r="E160" s="103"/>
      <x:c r="F160" s="103" t="str">
        <x:f>IF(B160="","",IF(OR(B160="Biologia",B160="Quimica",B160="Fisica"),3,IF(OR(B160="Redacao",B160="Linguagens"),2,1.5)))</x:f>
      </x:c>
      <x:c r="G160" s="139" t="str">
        <x:f>IF(A160="","",A160+IF(F160&gt;=2,2,3))</x:f>
      </x:c>
      <x:c r="H160" s="103"/>
      <x:c r="I160" s="103"/>
      <x:c r="J160" s="103"/>
    </x:row>
    <x:row r="161">
      <x:c r="A161" s="132"/>
      <x:c r="B161" s="103"/>
      <x:c r="C161" s="103" t="str">
        <x:f>IF(B161="","",IF(OR(B161="Biologia",B161="Quimica",B161="Fisica"),"Ciencias da Natureza",IF(B161="Humanas","Ciencias Humanas",B161)))</x:f>
      </x:c>
      <x:c r="D161" s="103"/>
      <x:c r="E161" s="103"/>
      <x:c r="F161" s="103" t="str">
        <x:f>IF(B161="","",IF(OR(B161="Biologia",B161="Quimica",B161="Fisica"),3,IF(OR(B161="Redacao",B161="Linguagens"),2,1.5)))</x:f>
      </x:c>
      <x:c r="G161" s="139" t="str">
        <x:f>IF(A161="","",A161+IF(F161&gt;=2,2,3))</x:f>
      </x:c>
      <x:c r="H161" s="103"/>
      <x:c r="I161" s="103"/>
      <x:c r="J161" s="103"/>
    </x:row>
    <x:row r="162">
      <x:c r="A162" s="132"/>
      <x:c r="B162" s="103"/>
      <x:c r="C162" s="103" t="str">
        <x:f>IF(B162="","",IF(OR(B162="Biologia",B162="Quimica",B162="Fisica"),"Ciencias da Natureza",IF(B162="Humanas","Ciencias Humanas",B162)))</x:f>
      </x:c>
      <x:c r="D162" s="103"/>
      <x:c r="E162" s="103"/>
      <x:c r="F162" s="103" t="str">
        <x:f>IF(B162="","",IF(OR(B162="Biologia",B162="Quimica",B162="Fisica"),3,IF(OR(B162="Redacao",B162="Linguagens"),2,1.5)))</x:f>
      </x:c>
      <x:c r="G162" s="139" t="str">
        <x:f>IF(A162="","",A162+IF(F162&gt;=2,2,3))</x:f>
      </x:c>
      <x:c r="H162" s="103"/>
      <x:c r="I162" s="103"/>
      <x:c r="J162" s="103"/>
    </x:row>
    <x:row r="163">
      <x:c r="A163" s="132"/>
      <x:c r="B163" s="103"/>
      <x:c r="C163" s="103" t="str">
        <x:f>IF(B163="","",IF(OR(B163="Biologia",B163="Quimica",B163="Fisica"),"Ciencias da Natureza",IF(B163="Humanas","Ciencias Humanas",B163)))</x:f>
      </x:c>
      <x:c r="D163" s="103"/>
      <x:c r="E163" s="103"/>
      <x:c r="F163" s="103" t="str">
        <x:f>IF(B163="","",IF(OR(B163="Biologia",B163="Quimica",B163="Fisica"),3,IF(OR(B163="Redacao",B163="Linguagens"),2,1.5)))</x:f>
      </x:c>
      <x:c r="G163" s="139" t="str">
        <x:f>IF(A163="","",A163+IF(F163&gt;=2,2,3))</x:f>
      </x:c>
      <x:c r="H163" s="103"/>
      <x:c r="I163" s="103"/>
      <x:c r="J163" s="103"/>
    </x:row>
    <x:row r="164">
      <x:c r="A164" s="134"/>
      <x:c r="B164" s="135"/>
      <x:c r="C164" s="135" t="str">
        <x:f>IF(B164="","",IF(OR(B164="Biologia",B164="Quimica",B164="Fisica"),"Ciencias da Natureza",IF(B164="Humanas","Ciencias Humanas",B164)))</x:f>
      </x:c>
      <x:c r="D164" s="135"/>
      <x:c r="E164" s="135"/>
      <x:c r="F164" s="135" t="str">
        <x:f>IF(B164="","",IF(OR(B164="Biologia",B164="Quimica",B164="Fisica"),3,IF(OR(B164="Redacao",B164="Linguagens"),2,1.5)))</x:f>
      </x:c>
      <x:c r="G164" s="140" t="str">
        <x:f>IF(A164="","",A164+IF(F164&gt;=2,2,3))</x:f>
      </x:c>
      <x:c r="H164" s="135"/>
      <x:c r="I164" s="135"/>
      <x:c r="J164" s="135"/>
    </x:row>
  </x:sheetData>
  <x:mergeCells>
    <x:mergeCell ref="A1:J1"/>
    <x:mergeCell ref="A2:J2"/>
  </x:mergeCells>
  <x:dataValidations count="3">
    <x:dataValidation type="list" sqref="B5:B164">
      <x:formula1>"Biologia,Quimica,Fisica,Redacao,Linguagens,Matematica,Humanas"</x:formula1>
    </x:dataValidation>
    <x:dataValidation type="list" sqref="H5:H164">
      <x:formula1>"Pendente,Feita,Revisar de novo,Dominado"</x:formula1>
    </x:dataValidation>
    <x:dataValidation type="list" sqref="I5:I164">
      <x:formula1>"Sim,Nao,Parcial"</x:formula1>
    </x:dataValidation>
  </x:dataValidations>
  <x:pageMargins left="0.7" right="0.7" top="0.75" bottom="0.75" header="0.3" footer="0.3"/>
</x:worksheet>
</file>